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defaultThemeVersion="124226"/>
  <bookViews>
    <workbookView xWindow="0" yWindow="0" windowWidth="19200" windowHeight="7170" tabRatio="775" firstSheet="1" activeTab="7"/>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44525"/>
</workbook>
</file>

<file path=xl/calcChain.xml><?xml version="1.0" encoding="utf-8"?>
<calcChain xmlns="http://schemas.openxmlformats.org/spreadsheetml/2006/main">
  <c r="L3" i="54" l="1"/>
  <c r="L3" i="57"/>
  <c r="K3" i="57" l="1"/>
  <c r="E7" i="55" s="1"/>
  <c r="J3" i="57"/>
  <c r="E6" i="55" s="1"/>
  <c r="D5" i="55"/>
  <c r="K3" i="54"/>
  <c r="E16" i="55" s="1"/>
  <c r="J3" i="54"/>
  <c r="E15" i="55" s="1"/>
  <c r="I3" i="54"/>
  <c r="D14" i="55" s="1"/>
  <c r="H8" i="55" s="1"/>
  <c r="E5" i="55" l="1"/>
  <c r="I7" i="55" s="1"/>
  <c r="E14" i="55"/>
  <c r="I8" i="55" s="1"/>
  <c r="D6" i="55"/>
  <c r="D7" i="55" s="1"/>
  <c r="H7" i="55"/>
  <c r="D15" i="55"/>
  <c r="D16" i="55" s="1"/>
</calcChain>
</file>

<file path=xl/comments1.xml><?xml version="1.0" encoding="utf-8"?>
<comments xmlns="http://schemas.openxmlformats.org/spreadsheetml/2006/main">
  <authors>
    <author>Sumeet Kumar Barua08</author>
  </authors>
  <commentList>
    <comment ref="F1" authorId="0">
      <text>
        <r>
          <rPr>
            <sz val="9"/>
            <color indexed="81"/>
            <rFont val="Tahoma"/>
            <family val="2"/>
          </rPr>
          <t>Kindly refrain from providing more than 8 points to user stories</t>
        </r>
      </text>
    </comment>
    <comment ref="F2" authorId="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 ref="L3" authorId="0">
      <text>
        <r>
          <rPr>
            <sz val="9"/>
            <color indexed="81"/>
            <rFont val="Tahoma"/>
            <family val="2"/>
          </rPr>
          <t>Pending effort hours after completion of day 2 work</t>
        </r>
      </text>
    </comment>
  </commentList>
</comments>
</file>

<file path=xl/comments3.xml><?xml version="1.0" encoding="utf-8"?>
<comments xmlns="http://schemas.openxmlformats.org/spreadsheetml/2006/main">
  <authors>
    <author>Sumeet Kumar Barua08</author>
  </authors>
  <commentList>
    <comment ref="I3" authorId="0">
      <text>
        <r>
          <rPr>
            <sz val="9"/>
            <color indexed="81"/>
            <rFont val="Tahoma"/>
            <family val="2"/>
          </rPr>
          <t xml:space="preserve">This is the total task estimated in hours for all the user stories </t>
        </r>
      </text>
    </comment>
    <comment ref="J3" authorId="0">
      <text>
        <r>
          <rPr>
            <sz val="9"/>
            <color indexed="81"/>
            <rFont val="Tahoma"/>
            <family val="2"/>
          </rPr>
          <t xml:space="preserve">Pending effort hours after completion of day 1 work
</t>
        </r>
      </text>
    </comment>
    <comment ref="K3" authorId="0">
      <text>
        <r>
          <rPr>
            <sz val="9"/>
            <color indexed="81"/>
            <rFont val="Tahoma"/>
            <family val="2"/>
          </rPr>
          <t>Pending effort hours after completion of day 2 work</t>
        </r>
      </text>
    </comment>
    <comment ref="L3" authorId="0">
      <text>
        <r>
          <rPr>
            <sz val="9"/>
            <color indexed="81"/>
            <rFont val="Tahoma"/>
            <family val="2"/>
          </rPr>
          <t>Pending effort hours after completion of day 2 work</t>
        </r>
      </text>
    </comment>
  </commentList>
</comments>
</file>

<file path=xl/comments4.xml><?xml version="1.0" encoding="utf-8"?>
<comments xmlns="http://schemas.openxmlformats.org/spreadsheetml/2006/main">
  <authors>
    <author>Sumeet Kumar Barua08</author>
    <author>Angad Singh Bindra</author>
  </authors>
  <commentList>
    <comment ref="E6" authorId="0">
      <text>
        <r>
          <rPr>
            <sz val="9"/>
            <color indexed="81"/>
            <rFont val="Tahoma"/>
            <family val="2"/>
          </rPr>
          <t>Effort hours pending after day 1 of sprint 1</t>
        </r>
      </text>
    </comment>
    <comment ref="E7" authorId="0">
      <text>
        <r>
          <rPr>
            <sz val="9"/>
            <color indexed="81"/>
            <rFont val="Tahoma"/>
            <family val="2"/>
          </rPr>
          <t>Effort hours pending after day 2 of sprint 1</t>
        </r>
      </text>
    </comment>
    <comment ref="H7" authorId="1">
      <text>
        <r>
          <rPr>
            <sz val="9"/>
            <color indexed="81"/>
            <rFont val="Tahoma"/>
            <charset val="1"/>
          </rPr>
          <t>Planned hours of effort in Sprint 1</t>
        </r>
      </text>
    </comment>
    <comment ref="I7" authorId="0">
      <text>
        <r>
          <rPr>
            <sz val="9"/>
            <color indexed="81"/>
            <rFont val="Tahoma"/>
            <family val="2"/>
          </rPr>
          <t xml:space="preserve">Story points completed in sprint 1
</t>
        </r>
      </text>
    </comment>
    <comment ref="H8" authorId="1">
      <text>
        <r>
          <rPr>
            <sz val="9"/>
            <color indexed="81"/>
            <rFont val="Tahoma"/>
            <family val="2"/>
          </rPr>
          <t>Planned hours of effort in Sprint 2</t>
        </r>
      </text>
    </comment>
    <comment ref="I8" authorId="1">
      <text>
        <r>
          <rPr>
            <sz val="9"/>
            <color indexed="81"/>
            <rFont val="Tahoma"/>
            <family val="2"/>
          </rPr>
          <t xml:space="preserve">Story points completed in Sprint 2
</t>
        </r>
      </text>
    </comment>
    <comment ref="E15" authorId="0">
      <text>
        <r>
          <rPr>
            <sz val="9"/>
            <color indexed="81"/>
            <rFont val="Tahoma"/>
            <family val="2"/>
          </rPr>
          <t>Effort hours pending after day 1 of sprint 2</t>
        </r>
      </text>
    </comment>
    <comment ref="E16" authorId="0">
      <text>
        <r>
          <rPr>
            <sz val="9"/>
            <color indexed="81"/>
            <rFont val="Tahoma"/>
            <family val="2"/>
          </rPr>
          <t>Effort hours pending after day 2 of sprint 2</t>
        </r>
      </text>
    </comment>
  </commentList>
</comments>
</file>

<file path=xl/sharedStrings.xml><?xml version="1.0" encoding="utf-8"?>
<sst xmlns="http://schemas.openxmlformats.org/spreadsheetml/2006/main" count="504" uniqueCount="145">
  <si>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</si>
  <si>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</si>
  <si>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</si>
  <si>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</si>
  <si>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</si>
  <si>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</si>
  <si>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</si>
  <si>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</si>
  <si>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</si>
  <si>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</si>
  <si>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</si>
  <si>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</si>
  <si>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</si>
  <si>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</si>
  <si>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</si>
  <si>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</si>
  <si>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</si>
  <si>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</si>
  <si>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</si>
  <si>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</si>
  <si>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</si>
  <si>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</si>
  <si>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</si>
  <si>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</si>
  <si>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</si>
  <si>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</si>
  <si>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</si>
  <si>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</si>
  <si>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</si>
  <si>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</si>
  <si>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</si>
  <si>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</si>
  <si>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</si>
  <si>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</si>
  <si>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</si>
  <si>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</si>
  <si>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</si>
  <si>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</si>
  <si>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</si>
  <si>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</si>
  <si>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</si>
  <si>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</si>
  <si>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</si>
  <si>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</si>
  <si>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</si>
  <si>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</si>
  <si>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</si>
  <si>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</si>
  <si>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</si>
  <si>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</si>
  <si>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</si>
  <si>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</si>
  <si>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</si>
  <si>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</si>
  <si>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</si>
  <si>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</si>
  <si>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</si>
  <si>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</si>
  <si>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</si>
  <si>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Day 3</t>
  </si>
  <si>
    <t>2 days</t>
  </si>
  <si>
    <t>US01</t>
  </si>
  <si>
    <t>As a visitor, I should be able to “Register” with the application, so that, I can use the services
and get the benefits of a registered user.</t>
  </si>
  <si>
    <t>MUST HAVE</t>
  </si>
  <si>
    <t>krishnasree.mathi</t>
  </si>
  <si>
    <t>3- Completed</t>
  </si>
  <si>
    <t>US02</t>
  </si>
  <si>
    <t>As a visitor, I should able to see only home page, hot deals and can search for various packages available but not booking feature.</t>
  </si>
  <si>
    <t>US03</t>
  </si>
  <si>
    <t>As a logged-in user, I can explore all the features and I should be able to book the package of the application.</t>
  </si>
  <si>
    <t>US04</t>
  </si>
  <si>
    <t>As a logged-in user, I should be able to view my planned trips.</t>
  </si>
  <si>
    <t>US05</t>
  </si>
  <si>
    <t>US06</t>
  </si>
  <si>
    <t>As a logged-in user, I should be able to view my profile details.</t>
  </si>
  <si>
    <t>COULD HAVE</t>
  </si>
  <si>
    <t>US07</t>
  </si>
  <si>
    <t xml:space="preserve">As a logged-in user, I should be able to logout. </t>
  </si>
  <si>
    <t>Design a schema for user details and connect the collection to database with the help of mongoose.</t>
  </si>
  <si>
    <t>Build</t>
  </si>
  <si>
    <t>Create a register form by the required fields</t>
  </si>
  <si>
    <t>Coding</t>
  </si>
  <si>
    <t>Create a register service to fetch data from requesting url.</t>
  </si>
  <si>
    <t>Create a route for handling the request from UI</t>
  </si>
  <si>
    <t xml:space="preserve">Valiate the user register details in the backend. 
</t>
  </si>
  <si>
    <t>Create a model file for submitting the register  form details to mongodb database.</t>
  </si>
  <si>
    <t>Perform unit testing to register form</t>
  </si>
  <si>
    <t>Unit Test</t>
  </si>
  <si>
    <t>Perform linting on UI and eslint on Web Service files created.</t>
  </si>
  <si>
    <t>Create UI for displaying packages</t>
  </si>
  <si>
    <t>Design a schema for packages and connect the collection to database with the help of mongoose.</t>
  </si>
  <si>
    <t>Create a Packages Service to fetch packages from requesting url.</t>
  </si>
  <si>
    <t>US-02</t>
  </si>
  <si>
    <t>Create a model file for accessing the requested packages from UI with the help of mongoose.</t>
  </si>
  <si>
    <t xml:space="preserve">Create UI for a booking a package. </t>
  </si>
  <si>
    <t>Create a booking service to fetch data from requesting url.</t>
  </si>
  <si>
    <t>US-03</t>
  </si>
  <si>
    <t>Create a model file for updating the booking form details to mongodb database.</t>
  </si>
  <si>
    <t xml:space="preserve">Valiate the booking details in the backend. 
</t>
  </si>
  <si>
    <t>Create UI for displaying planned trips</t>
  </si>
  <si>
    <t>Create functions for accessing planned trips from server by requesting.</t>
  </si>
  <si>
    <t>US-04</t>
  </si>
  <si>
    <t>Create a model file for getting requested data from database.</t>
  </si>
  <si>
    <t>US-05</t>
  </si>
  <si>
    <t>Create a function for cancelling a package.</t>
  </si>
  <si>
    <t>Create UI for cancelling a package</t>
  </si>
  <si>
    <t>Create a servie for fetching the data from the server.</t>
  </si>
  <si>
    <t>Create a route for handling request from the UI</t>
  </si>
  <si>
    <t>Create a model for updating the request in the database</t>
  </si>
  <si>
    <t>Perform tslint and eslint on both UI and webservice files</t>
  </si>
  <si>
    <t>US-06</t>
  </si>
  <si>
    <t>Create UI for displaying user profile</t>
  </si>
  <si>
    <t>Create service to fetch data from server by requesting with url.</t>
  </si>
  <si>
    <t>Design a route for handling request.</t>
  </si>
  <si>
    <t>Create a model for getting requested data from the database</t>
  </si>
  <si>
    <t>Validating the user details in the backend</t>
  </si>
  <si>
    <t>US-07</t>
  </si>
  <si>
    <t>Create a function for log out</t>
  </si>
  <si>
    <t>Perform unit test cases for backend</t>
  </si>
  <si>
    <t>Perform gulp lint, test, coverage</t>
  </si>
  <si>
    <t>Integration</t>
  </si>
  <si>
    <t>Create test cases for automatic testing via protractor</t>
  </si>
  <si>
    <t>System Test</t>
  </si>
  <si>
    <t xml:space="preserve">Uploading the project into infygit </t>
  </si>
  <si>
    <t xml:space="preserve">General </t>
  </si>
  <si>
    <t>COMPLETED</t>
  </si>
  <si>
    <t>Appearance of UI</t>
  </si>
  <si>
    <t>discussed about register form UI and the specified fields for registration form</t>
  </si>
  <si>
    <t>discussed about creating an UI where we can see packages while searching for a trip</t>
  </si>
  <si>
    <t>discussed about all the features of a logged-in user along with booking a trip feature</t>
  </si>
  <si>
    <t>discussed about UI of planned trips</t>
  </si>
  <si>
    <t>learned about primeng and applied various components for effective appearance of UI</t>
  </si>
  <si>
    <t>Issue faced while booking the same trip</t>
  </si>
  <si>
    <t>Resolved by changing certain logics in the webservice</t>
  </si>
  <si>
    <t>discussed about cancellation of a trip</t>
  </si>
  <si>
    <t>discussed about creating a view of a user profile</t>
  </si>
  <si>
    <t>discussed about logout feature</t>
  </si>
  <si>
    <t>Register</t>
  </si>
  <si>
    <t>Viewing planned trips</t>
  </si>
  <si>
    <t xml:space="preserve">As a logged-in user, I should be able to cancel a trip. </t>
  </si>
  <si>
    <t>cancelling a trip</t>
  </si>
  <si>
    <t>logout</t>
  </si>
  <si>
    <t>discussed about using primeng instead of bootstrap and css</t>
  </si>
  <si>
    <t>can apply an extra feature such as - edit booking</t>
  </si>
  <si>
    <t>can apply an extra feature such as - edit profile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</si>
</sst>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4">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3" fillId="0" borderId="1" xfId="0" applyFont="1" applyFill="1" applyBorder="1" applyAlignment="1" applyProtection="1">
      <alignment wrapText="1"/>
      <protection locked="0"/>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0" fontId="3" fillId="10" borderId="1" xfId="0" applyFont="1" applyFill="1" applyBorder="1" applyAlignment="1" applyProtection="1">
      <alignment horizontal="left" wrapText="1"/>
      <protection locked="0"/>
    </xf>
    <xf numFmtId="0" fontId="1" fillId="0" borderId="1" xfId="0" applyFont="1" applyBorder="1" applyAlignment="1">
      <alignment horizontal="center" vertical="center"/>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4" fillId="0" borderId="6" xfId="0" applyFont="1" applyFill="1" applyBorder="1" applyAlignment="1" applyProtection="1">
      <alignment horizontal="center" vertical="center" wrapText="1"/>
      <protection locked="0"/>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6" fillId="8" borderId="9" xfId="0" applyFont="1" applyFill="1" applyBorder="1" applyAlignment="1" applyProtection="1">
      <alignment horizontal="center" vertical="center" wrapText="1"/>
      <protection locked="0"/>
    </xf>
    <xf numFmtId="0" fontId="16" fillId="8" borderId="11" xfId="0" applyFont="1" applyFill="1" applyBorder="1" applyAlignment="1" applyProtection="1">
      <alignment horizontal="center" vertical="center" wrapText="1"/>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12"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12"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6"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5" xfId="0" applyNumberFormat="1"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xf numFmtId="0" fontId="3" fillId="0" borderId="1" xfId="2" applyNumberFormat="1" applyFont="1" applyBorder="1" applyAlignment="1" applyProtection="1">
      <alignment horizontal="center" vertical="center"/>
      <protection locked="0"/>
    </xf>
    <xf numFmtId="0" fontId="3" fillId="0" borderId="8" xfId="2" applyNumberFormat="1" applyFont="1" applyBorder="1" applyAlignment="1" applyProtection="1">
      <alignment horizontal="center" vertical="center"/>
      <protection locked="0"/>
    </xf>
    <xf numFmtId="14" fontId="3" fillId="0" borderId="1" xfId="0" applyNumberFormat="1" applyFont="1" applyFill="1" applyBorder="1" applyAlignment="1">
      <alignment horizontal="center" vertical="center"/>
    </xf>
    <xf numFmtId="0" fontId="3" fillId="0" borderId="1" xfId="0" applyFont="1" applyFill="1" applyBorder="1" applyAlignment="1">
      <alignment horizontal="left" vertical="center"/>
    </xf>
    <xf numFmtId="0" fontId="3" fillId="0" borderId="1" xfId="0" applyFont="1" applyBorder="1"/>
  </cellXfs>
  <cellStyles count="6">
    <cellStyle name="Jun" xfId="1"/>
    <cellStyle name="Normal" xfId="0" builtinId="0"/>
    <cellStyle name="Normal 2" xfId="2"/>
    <cellStyle name="Normal 3" xfId="3"/>
    <cellStyle name="Normal 3 2" xfId="4"/>
    <cellStyle name="Normal 4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Data'!$C$5:$C$8</c:f>
              <c:numCache>
                <c:formatCode>General</c:formatCode>
                <c:ptCount val="4"/>
                <c:pt idx="0">
                  <c:v>1</c:v>
                </c:pt>
                <c:pt idx="1">
                  <c:v>2</c:v>
                </c:pt>
                <c:pt idx="2">
                  <c:v>3</c:v>
                </c:pt>
              </c:numCache>
            </c:numRef>
          </c:cat>
          <c:val>
            <c:numRef>
              <c:f>'Reference Data'!$D$5:$D$8</c:f>
              <c:numCache>
                <c:formatCode>General</c:formatCode>
                <c:ptCount val="4"/>
                <c:pt idx="0">
                  <c:v>16</c:v>
                </c:pt>
                <c:pt idx="1">
                  <c:v>10.67</c:v>
                </c:pt>
                <c:pt idx="2">
                  <c:v>5.34</c:v>
                </c:pt>
              </c:numCache>
            </c:numRef>
          </c:val>
          <c:smooth val="0"/>
          <c:extLst xmlns:c16r2="http://schemas.microsoft.com/office/drawing/2015/06/char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293826944"/>
        <c:axId val="293828864"/>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Data'!$C$5:$C$8</c:f>
              <c:numCache>
                <c:formatCode>General</c:formatCode>
                <c:ptCount val="4"/>
                <c:pt idx="0">
                  <c:v>1</c:v>
                </c:pt>
                <c:pt idx="1">
                  <c:v>2</c:v>
                </c:pt>
                <c:pt idx="2">
                  <c:v>3</c:v>
                </c:pt>
              </c:numCache>
            </c:numRef>
          </c:cat>
          <c:val>
            <c:numRef>
              <c:f>'Reference Data'!$E$5:$E$8</c:f>
              <c:numCache>
                <c:formatCode>General</c:formatCode>
                <c:ptCount val="4"/>
                <c:pt idx="0">
                  <c:v>16.5</c:v>
                </c:pt>
                <c:pt idx="1">
                  <c:v>9.25</c:v>
                </c:pt>
                <c:pt idx="2">
                  <c:v>7.25</c:v>
                </c:pt>
              </c:numCache>
            </c:numRef>
          </c:val>
          <c:smooth val="0"/>
          <c:extLst xmlns:c16r2="http://schemas.microsoft.com/office/drawing/2015/06/char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231735680"/>
        <c:axId val="231737216"/>
      </c:lineChart>
      <c:catAx>
        <c:axId val="293826944"/>
        <c:scaling>
          <c:orientation val="minMax"/>
        </c:scaling>
        <c:delete val="0"/>
        <c:axPos val="b"/>
        <c:title>
          <c:tx>
            <c:rich>
              <a:bodyPr/>
              <a:lstStyle/>
              <a:p>
                <a:pPr algn="ctr">
                  <a:defRPr/>
                </a:pPr>
                <a:r>
                  <a:rPr lang="en-US" sz="1100"/>
                  <a:t>Days</a:t>
                </a:r>
              </a:p>
            </c:rich>
          </c:tx>
          <c:layout/>
          <c:overlay val="0"/>
        </c:title>
        <c:numFmt formatCode="General" sourceLinked="1"/>
        <c:majorTickMark val="out"/>
        <c:minorTickMark val="none"/>
        <c:tickLblPos val="nextTo"/>
        <c:crossAx val="293828864"/>
        <c:crosses val="autoZero"/>
        <c:auto val="1"/>
        <c:lblAlgn val="ctr"/>
        <c:lblOffset val="100"/>
        <c:noMultiLvlLbl val="0"/>
      </c:catAx>
      <c:valAx>
        <c:axId val="293828864"/>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293826944"/>
        <c:crosses val="max"/>
        <c:crossBetween val="between"/>
      </c:valAx>
      <c:catAx>
        <c:axId val="231735680"/>
        <c:scaling>
          <c:orientation val="minMax"/>
        </c:scaling>
        <c:delete val="1"/>
        <c:axPos val="b"/>
        <c:numFmt formatCode="General" sourceLinked="1"/>
        <c:majorTickMark val="out"/>
        <c:minorTickMark val="none"/>
        <c:tickLblPos val="nextTo"/>
        <c:crossAx val="231737216"/>
        <c:crosses val="autoZero"/>
        <c:auto val="1"/>
        <c:lblAlgn val="ctr"/>
        <c:lblOffset val="100"/>
        <c:noMultiLvlLbl val="0"/>
      </c:catAx>
      <c:valAx>
        <c:axId val="231737216"/>
        <c:scaling>
          <c:orientation val="minMax"/>
        </c:scaling>
        <c:delete val="0"/>
        <c:axPos val="l"/>
        <c:numFmt formatCode="General" sourceLinked="1"/>
        <c:majorTickMark val="out"/>
        <c:minorTickMark val="none"/>
        <c:tickLblPos val="nextTo"/>
        <c:crossAx val="231735680"/>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layout/>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16</c:v>
                </c:pt>
                <c:pt idx="1">
                  <c:v>14.5</c:v>
                </c:pt>
              </c:numCache>
            </c:numRef>
          </c:val>
          <c:extLst xmlns:c16r2="http://schemas.microsoft.com/office/drawing/2015/06/char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16.5</c:v>
                </c:pt>
                <c:pt idx="1">
                  <c:v>14.5</c:v>
                </c:pt>
              </c:numCache>
            </c:numRef>
          </c:val>
          <c:extLst xmlns:c16r2="http://schemas.microsoft.com/office/drawing/2015/06/char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148949632"/>
        <c:axId val="194999040"/>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xmlns:c16r2="http://schemas.microsoft.com/office/drawing/2015/06/char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xmlns:c16r2="http://schemas.microsoft.com/office/drawing/2015/06/char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148949632"/>
        <c:axId val="194999040"/>
      </c:lineChart>
      <c:catAx>
        <c:axId val="148949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4999040"/>
        <c:crosses val="autoZero"/>
        <c:auto val="1"/>
        <c:lblAlgn val="ctr"/>
        <c:lblOffset val="100"/>
        <c:noMultiLvlLbl val="0"/>
      </c:catAx>
      <c:valAx>
        <c:axId val="194999040"/>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8949632"/>
        <c:crosses val="autoZero"/>
        <c:crossBetween val="between"/>
      </c:valAx>
      <c:spPr>
        <a:noFill/>
        <a:ln w="6350">
          <a:solidFill>
            <a:schemeClr val="bg1">
              <a:lumMod val="65000"/>
            </a:schemeClr>
          </a:solidFill>
        </a:ln>
        <a:effectLst/>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xmlns:c16r2="http://schemas.microsoft.com/office/drawing/2015/06/char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Data'!$C$5:$C$8</c:f>
              <c:numCache>
                <c:formatCode>General</c:formatCode>
                <c:ptCount val="4"/>
                <c:pt idx="0">
                  <c:v>1</c:v>
                </c:pt>
                <c:pt idx="1">
                  <c:v>2</c:v>
                </c:pt>
                <c:pt idx="2">
                  <c:v>3</c:v>
                </c:pt>
              </c:numCache>
            </c:numRef>
          </c:cat>
          <c:val>
            <c:numRef>
              <c:f>'Reference Data'!$D$14:$D$17</c:f>
              <c:numCache>
                <c:formatCode>General</c:formatCode>
                <c:ptCount val="4"/>
                <c:pt idx="0">
                  <c:v>14.5</c:v>
                </c:pt>
                <c:pt idx="1">
                  <c:v>9.67</c:v>
                </c:pt>
                <c:pt idx="2">
                  <c:v>4.84</c:v>
                </c:pt>
              </c:numCache>
            </c:numRef>
          </c:val>
          <c:smooth val="0"/>
          <c:extLst xmlns:c16r2="http://schemas.microsoft.com/office/drawing/2015/06/char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231783424"/>
        <c:axId val="231797888"/>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'Reference Data'!$C$5:$C$8</c:f>
              <c:numCache>
                <c:formatCode>General</c:formatCode>
                <c:ptCount val="4"/>
                <c:pt idx="0">
                  <c:v>1</c:v>
                </c:pt>
                <c:pt idx="1">
                  <c:v>2</c:v>
                </c:pt>
                <c:pt idx="2">
                  <c:v>3</c:v>
                </c:pt>
              </c:numCache>
            </c:numRef>
          </c:cat>
          <c:val>
            <c:numRef>
              <c:f>'Reference Data'!$E$14:$E$17</c:f>
              <c:numCache>
                <c:formatCode>General</c:formatCode>
                <c:ptCount val="4"/>
                <c:pt idx="0">
                  <c:v>14.5</c:v>
                </c:pt>
                <c:pt idx="1">
                  <c:v>7.5</c:v>
                </c:pt>
                <c:pt idx="2">
                  <c:v>7</c:v>
                </c:pt>
              </c:numCache>
            </c:numRef>
          </c:val>
          <c:smooth val="0"/>
          <c:extLst xmlns:c16r2="http://schemas.microsoft.com/office/drawing/2015/06/char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231799808"/>
        <c:axId val="283484928"/>
      </c:lineChart>
      <c:catAx>
        <c:axId val="231783424"/>
        <c:scaling>
          <c:orientation val="minMax"/>
        </c:scaling>
        <c:delete val="0"/>
        <c:axPos val="b"/>
        <c:title>
          <c:tx>
            <c:rich>
              <a:bodyPr/>
              <a:lstStyle/>
              <a:p>
                <a:pPr algn="ctr">
                  <a:defRPr/>
                </a:pPr>
                <a:r>
                  <a:rPr lang="en-US" sz="1100"/>
                  <a:t>Sprint</a:t>
                </a:r>
              </a:p>
            </c:rich>
          </c:tx>
          <c:layout/>
          <c:overlay val="0"/>
        </c:title>
        <c:numFmt formatCode="General" sourceLinked="1"/>
        <c:majorTickMark val="out"/>
        <c:minorTickMark val="none"/>
        <c:tickLblPos val="nextTo"/>
        <c:crossAx val="231797888"/>
        <c:crosses val="autoZero"/>
        <c:auto val="1"/>
        <c:lblAlgn val="ctr"/>
        <c:lblOffset val="100"/>
        <c:noMultiLvlLbl val="0"/>
      </c:catAx>
      <c:valAx>
        <c:axId val="231797888"/>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231783424"/>
        <c:crosses val="max"/>
        <c:crossBetween val="between"/>
      </c:valAx>
      <c:catAx>
        <c:axId val="231799808"/>
        <c:scaling>
          <c:orientation val="minMax"/>
        </c:scaling>
        <c:delete val="1"/>
        <c:axPos val="b"/>
        <c:numFmt formatCode="General" sourceLinked="1"/>
        <c:majorTickMark val="out"/>
        <c:minorTickMark val="none"/>
        <c:tickLblPos val="nextTo"/>
        <c:crossAx val="283484928"/>
        <c:crosses val="autoZero"/>
        <c:auto val="1"/>
        <c:lblAlgn val="ctr"/>
        <c:lblOffset val="100"/>
        <c:noMultiLvlLbl val="0"/>
      </c:catAx>
      <c:valAx>
        <c:axId val="283484928"/>
        <c:scaling>
          <c:orientation val="minMax"/>
        </c:scaling>
        <c:delete val="0"/>
        <c:axPos val="l"/>
        <c:numFmt formatCode="General" sourceLinked="1"/>
        <c:majorTickMark val="out"/>
        <c:minorTickMark val="none"/>
        <c:tickLblPos val="nextTo"/>
        <c:crossAx val="231799808"/>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47"/>
  <sheetViews>
    <sheetView showGridLines="0" workbookViewId="0">
      <selection activeCell="L20" sqref="L20"/>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4" t="s">
        <v>10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row>
    <row r="3" spans="1:34" ht="19.5" customHeight="1" x14ac:dyDescent="0.2">
      <c r="A3" s="8" t="s">
        <v>12</v>
      </c>
      <c r="B3" s="9">
        <v>44012</v>
      </c>
      <c r="C3" s="8"/>
      <c r="D3" s="106" t="s">
        <v>15</v>
      </c>
      <c r="E3" s="107"/>
      <c r="F3" s="8">
        <v>2</v>
      </c>
      <c r="G3" s="8"/>
      <c r="H3" s="8"/>
      <c r="I3" s="8"/>
      <c r="J3" s="106" t="s">
        <v>54</v>
      </c>
      <c r="K3" s="107"/>
      <c r="L3" s="108">
        <v>44012</v>
      </c>
      <c r="M3" s="109"/>
      <c r="N3" s="8"/>
      <c r="O3" s="106" t="s">
        <v>14</v>
      </c>
      <c r="P3" s="107"/>
      <c r="Q3" s="107"/>
      <c r="R3" s="107"/>
      <c r="S3" s="110"/>
      <c r="T3" s="10" t="s">
        <v>60</v>
      </c>
      <c r="U3" s="8"/>
      <c r="V3" s="106" t="s">
        <v>55</v>
      </c>
      <c r="W3" s="107"/>
      <c r="X3" s="107"/>
      <c r="Y3" s="107"/>
      <c r="Z3" s="110"/>
      <c r="AA3" s="111">
        <v>44014</v>
      </c>
      <c r="AB3" s="111"/>
      <c r="AC3" s="106" t="s">
        <v>13</v>
      </c>
      <c r="AD3" s="110"/>
      <c r="AE3" s="8">
        <v>1</v>
      </c>
      <c r="AF3" s="11"/>
      <c r="AG3" s="11"/>
      <c r="AH3" s="12"/>
    </row>
    <row r="4" spans="1:34" ht="15" customHeight="1" x14ac:dyDescent="0.2"/>
    <row r="5" spans="1:34" ht="21" customHeight="1" x14ac:dyDescent="0.2">
      <c r="A5" s="103" t="s">
        <v>56</v>
      </c>
      <c r="B5" s="103"/>
      <c r="C5" s="103"/>
      <c r="D5" s="103"/>
      <c r="E5" s="103"/>
      <c r="F5" s="103"/>
      <c r="G5" s="103"/>
      <c r="H5" s="103"/>
      <c r="I5" s="103"/>
      <c r="J5" s="103"/>
      <c r="K5" s="103"/>
      <c r="L5" s="103"/>
      <c r="M5" s="103"/>
      <c r="N5" s="103"/>
    </row>
    <row r="6" spans="1:34" ht="12" customHeight="1" x14ac:dyDescent="0.2">
      <c r="A6" s="103"/>
      <c r="B6" s="103"/>
      <c r="C6" s="103"/>
      <c r="D6" s="103"/>
      <c r="E6" s="103"/>
      <c r="F6" s="103"/>
      <c r="G6" s="103"/>
      <c r="H6" s="103"/>
      <c r="I6" s="103"/>
      <c r="J6" s="103"/>
      <c r="K6" s="103"/>
      <c r="L6" s="103"/>
      <c r="M6" s="103"/>
      <c r="N6" s="103"/>
    </row>
    <row r="7" spans="1:34" ht="22.5" customHeight="1" x14ac:dyDescent="0.2"/>
    <row r="9" spans="1:34" x14ac:dyDescent="0.2">
      <c r="L9" s="91"/>
      <c r="M9" s="91"/>
    </row>
    <row r="10" spans="1:34" ht="24" customHeight="1" x14ac:dyDescent="0.2">
      <c r="L10" s="92"/>
      <c r="M10" s="92"/>
    </row>
    <row r="11" spans="1:34" ht="18" customHeight="1" x14ac:dyDescent="0.2">
      <c r="L11" s="93" t="s">
        <v>125</v>
      </c>
      <c r="M11" s="93"/>
    </row>
    <row r="13" spans="1:34" x14ac:dyDescent="0.2">
      <c r="B13" s="25"/>
    </row>
    <row r="31" ht="9.75" customHeight="1" x14ac:dyDescent="0.2"/>
    <row r="32" ht="45" customHeight="1" x14ac:dyDescent="0.2"/>
    <row r="33" spans="12:13" ht="27.75" customHeight="1" x14ac:dyDescent="0.2">
      <c r="L33" s="92"/>
      <c r="M33" s="92"/>
    </row>
    <row r="34" spans="12:13" ht="19.5" customHeight="1" x14ac:dyDescent="0.2">
      <c r="L34" s="93" t="s">
        <v>125</v>
      </c>
      <c r="M34" s="93"/>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5"/>
  <sheetViews>
    <sheetView showGridLines="0" workbookViewId="0">
      <selection activeCell="D6" sqref="D6"/>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39</v>
      </c>
      <c r="B1" s="30" t="s">
        <v>40</v>
      </c>
      <c r="C1" s="37" t="s">
        <v>1</v>
      </c>
      <c r="D1" s="37" t="s">
        <v>6</v>
      </c>
      <c r="E1" s="37" t="s">
        <v>16</v>
      </c>
      <c r="F1" s="37" t="s">
        <v>17</v>
      </c>
      <c r="G1" s="37" t="s">
        <v>18</v>
      </c>
      <c r="H1" s="37" t="s">
        <v>0</v>
      </c>
    </row>
    <row r="2" spans="1:8" ht="37.5" customHeight="1" x14ac:dyDescent="0.2">
      <c r="A2" s="5">
        <v>1</v>
      </c>
      <c r="B2" s="5">
        <v>1</v>
      </c>
      <c r="C2" s="32" t="s">
        <v>61</v>
      </c>
      <c r="D2" s="34" t="s">
        <v>62</v>
      </c>
      <c r="E2" s="17" t="s">
        <v>63</v>
      </c>
      <c r="F2" s="17">
        <v>3</v>
      </c>
      <c r="G2" s="17" t="s">
        <v>64</v>
      </c>
      <c r="H2" s="17" t="s">
        <v>65</v>
      </c>
    </row>
    <row r="3" spans="1:8" ht="33.75" customHeight="1" x14ac:dyDescent="0.2">
      <c r="A3" s="5">
        <v>1</v>
      </c>
      <c r="B3" s="5">
        <v>1</v>
      </c>
      <c r="C3" s="32" t="s">
        <v>66</v>
      </c>
      <c r="D3" s="24" t="s">
        <v>67</v>
      </c>
      <c r="E3" s="17" t="s">
        <v>63</v>
      </c>
      <c r="F3" s="17">
        <v>5</v>
      </c>
      <c r="G3" s="17" t="s">
        <v>64</v>
      </c>
      <c r="H3" s="17" t="s">
        <v>65</v>
      </c>
    </row>
    <row r="4" spans="1:8" ht="27.75" customHeight="1" x14ac:dyDescent="0.2">
      <c r="A4" s="5">
        <v>1</v>
      </c>
      <c r="B4" s="5">
        <v>1</v>
      </c>
      <c r="C4" s="32" t="s">
        <v>68</v>
      </c>
      <c r="D4" s="24" t="s">
        <v>69</v>
      </c>
      <c r="E4" s="17" t="s">
        <v>63</v>
      </c>
      <c r="F4" s="17">
        <v>5</v>
      </c>
      <c r="G4" s="17" t="s">
        <v>64</v>
      </c>
      <c r="H4" s="17" t="s">
        <v>65</v>
      </c>
    </row>
    <row r="5" spans="1:8" ht="29.25" customHeight="1" x14ac:dyDescent="0.2">
      <c r="A5" s="5">
        <v>1</v>
      </c>
      <c r="B5" s="5">
        <v>1</v>
      </c>
      <c r="C5" s="32" t="s">
        <v>70</v>
      </c>
      <c r="D5" s="24" t="s">
        <v>71</v>
      </c>
      <c r="E5" s="17" t="s">
        <v>63</v>
      </c>
      <c r="F5" s="17">
        <v>5</v>
      </c>
      <c r="G5" s="17" t="s">
        <v>64</v>
      </c>
      <c r="H5" s="17" t="s">
        <v>65</v>
      </c>
    </row>
    <row r="6" spans="1:8" ht="24" x14ac:dyDescent="0.2">
      <c r="A6" s="5">
        <v>2</v>
      </c>
      <c r="B6" s="5">
        <v>2</v>
      </c>
      <c r="C6" s="32" t="s">
        <v>72</v>
      </c>
      <c r="D6" s="24" t="s">
        <v>139</v>
      </c>
      <c r="E6" s="17" t="s">
        <v>63</v>
      </c>
      <c r="F6" s="17">
        <v>5</v>
      </c>
      <c r="G6" s="17" t="s">
        <v>64</v>
      </c>
      <c r="H6" s="17" t="s">
        <v>65</v>
      </c>
    </row>
    <row r="7" spans="1:8" ht="24" x14ac:dyDescent="0.2">
      <c r="A7" s="5">
        <v>2</v>
      </c>
      <c r="B7" s="5">
        <v>2</v>
      </c>
      <c r="C7" s="32" t="s">
        <v>73</v>
      </c>
      <c r="D7" s="24" t="s">
        <v>74</v>
      </c>
      <c r="E7" s="17" t="s">
        <v>75</v>
      </c>
      <c r="F7" s="17">
        <v>3</v>
      </c>
      <c r="G7" s="17" t="s">
        <v>64</v>
      </c>
      <c r="H7" s="17" t="s">
        <v>65</v>
      </c>
    </row>
    <row r="8" spans="1:8" ht="24" x14ac:dyDescent="0.2">
      <c r="A8" s="5">
        <v>2</v>
      </c>
      <c r="B8" s="5">
        <v>2</v>
      </c>
      <c r="C8" s="32" t="s">
        <v>76</v>
      </c>
      <c r="D8" s="24" t="s">
        <v>77</v>
      </c>
      <c r="E8" s="17" t="s">
        <v>63</v>
      </c>
      <c r="F8" s="17">
        <v>2</v>
      </c>
      <c r="G8" s="17" t="s">
        <v>64</v>
      </c>
      <c r="H8" s="17" t="s">
        <v>65</v>
      </c>
    </row>
    <row r="9" spans="1:8" x14ac:dyDescent="0.2">
      <c r="A9" s="5"/>
      <c r="B9" s="5"/>
      <c r="C9" s="36"/>
      <c r="D9" s="24"/>
      <c r="E9" s="17"/>
      <c r="F9" s="17"/>
      <c r="G9" s="18"/>
      <c r="H9" s="17"/>
    </row>
    <row r="10" spans="1:8" x14ac:dyDescent="0.2">
      <c r="A10" s="5"/>
      <c r="B10" s="5"/>
      <c r="C10" s="36"/>
      <c r="D10" s="34"/>
      <c r="E10" s="17"/>
      <c r="F10" s="17"/>
      <c r="G10" s="17"/>
      <c r="H10" s="17"/>
    </row>
    <row r="11" spans="1:8" x14ac:dyDescent="0.2">
      <c r="A11" s="5"/>
      <c r="B11" s="5"/>
      <c r="C11" s="36"/>
      <c r="D11" s="24"/>
      <c r="E11" s="17"/>
      <c r="F11" s="17"/>
      <c r="G11" s="18"/>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34"/>
      <c r="E14" s="17"/>
      <c r="F14" s="17"/>
      <c r="G14" s="17"/>
      <c r="H14" s="17"/>
    </row>
    <row r="15" spans="1:8" x14ac:dyDescent="0.2">
      <c r="A15" s="5"/>
      <c r="B15" s="5"/>
      <c r="C15" s="36"/>
      <c r="D15" s="24"/>
      <c r="E15" s="17"/>
      <c r="F15" s="17"/>
      <c r="G15" s="18"/>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34"/>
      <c r="E18" s="17"/>
      <c r="F18" s="17"/>
      <c r="G18" s="17"/>
      <c r="H18" s="17"/>
    </row>
    <row r="19" spans="1:8" x14ac:dyDescent="0.2">
      <c r="A19" s="5"/>
      <c r="B19" s="5"/>
      <c r="C19" s="36"/>
      <c r="D19" s="24"/>
      <c r="E19" s="17"/>
      <c r="F19" s="17"/>
      <c r="G19" s="18"/>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34"/>
      <c r="E22" s="17"/>
      <c r="F22" s="17"/>
      <c r="G22" s="17"/>
      <c r="H22" s="17"/>
    </row>
    <row r="23" spans="1:8" x14ac:dyDescent="0.2">
      <c r="A23" s="5"/>
      <c r="B23" s="5"/>
      <c r="C23" s="36"/>
      <c r="D23" s="24"/>
      <c r="E23" s="17"/>
      <c r="F23" s="17"/>
      <c r="G23" s="18"/>
      <c r="H23" s="17"/>
    </row>
    <row r="24" spans="1:8" x14ac:dyDescent="0.2">
      <c r="A24" s="5"/>
      <c r="B24" s="5"/>
      <c r="C24" s="36"/>
      <c r="D24" s="24"/>
      <c r="E24" s="17"/>
      <c r="F24" s="17"/>
      <c r="G24" s="18"/>
      <c r="H24" s="17"/>
    </row>
    <row r="25" spans="1:8" x14ac:dyDescent="0.2">
      <c r="A25" s="5"/>
      <c r="B25" s="5"/>
      <c r="C25" s="36"/>
      <c r="D25" s="24"/>
      <c r="E25" s="17"/>
      <c r="F25" s="17"/>
      <c r="G25" s="18"/>
      <c r="H25" s="17"/>
    </row>
  </sheetData>
  <dataValidations count="3">
    <dataValidation type="list" allowBlank="1" showInputMessage="1" showErrorMessage="1" sqref="H2:H25">
      <formula1>"1- Not Started, 2- In Progress, 3- Completed"</formula1>
    </dataValidation>
    <dataValidation type="list" allowBlank="1" showInputMessage="1" showErrorMessage="1" sqref="F2:F25">
      <formula1>"0,1,2,3,5,8,13,21,40,100,?,∞"</formula1>
    </dataValidation>
    <dataValidation type="list" allowBlank="1" showInputMessage="1" showErrorMessage="1" sqref="E2:E25">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05"/>
  <sheetViews>
    <sheetView showGridLines="0" topLeftCell="A25" workbookViewId="0">
      <selection activeCell="C34" sqref="C34"/>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2" width="10.28515625" style="38" customWidth="1"/>
    <col min="13" max="16384" width="9.140625" style="38"/>
  </cols>
  <sheetData>
    <row r="1" spans="1:12" ht="18.75" customHeight="1" thickBot="1" x14ac:dyDescent="0.25">
      <c r="A1" s="71" t="s">
        <v>46</v>
      </c>
      <c r="B1" s="72"/>
      <c r="C1" s="72"/>
      <c r="D1" s="72"/>
      <c r="E1" s="72"/>
      <c r="F1" s="72"/>
      <c r="G1" s="72"/>
      <c r="H1" s="72"/>
      <c r="I1" s="72"/>
      <c r="J1" s="72"/>
      <c r="K1" s="72"/>
      <c r="L1" s="72"/>
    </row>
    <row r="2" spans="1:12" s="39" customFormat="1" ht="45.75" customHeight="1" x14ac:dyDescent="0.2">
      <c r="A2" s="122" t="s">
        <v>1</v>
      </c>
      <c r="B2" s="120" t="s">
        <v>3</v>
      </c>
      <c r="C2" s="116" t="s">
        <v>2</v>
      </c>
      <c r="D2" s="116" t="s">
        <v>8</v>
      </c>
      <c r="E2" s="118" t="s">
        <v>7</v>
      </c>
      <c r="F2" s="116" t="s">
        <v>4</v>
      </c>
      <c r="G2" s="116" t="s">
        <v>5</v>
      </c>
      <c r="H2" s="96" t="s">
        <v>0</v>
      </c>
      <c r="I2" s="94" t="s">
        <v>36</v>
      </c>
      <c r="J2" s="95" t="s">
        <v>27</v>
      </c>
      <c r="K2" s="95" t="s">
        <v>28</v>
      </c>
      <c r="L2" s="95" t="s">
        <v>59</v>
      </c>
    </row>
    <row r="3" spans="1:12" s="39" customFormat="1" ht="30" customHeight="1" x14ac:dyDescent="0.2">
      <c r="A3" s="123"/>
      <c r="B3" s="121"/>
      <c r="C3" s="117"/>
      <c r="D3" s="117"/>
      <c r="E3" s="119"/>
      <c r="F3" s="117"/>
      <c r="G3" s="117"/>
      <c r="H3" s="97"/>
      <c r="I3" s="73">
        <v>16</v>
      </c>
      <c r="J3" s="73">
        <f>SUM(J5:J801)</f>
        <v>9.25</v>
      </c>
      <c r="K3" s="73">
        <f>SUM(K5:K801)</f>
        <v>7.25</v>
      </c>
      <c r="L3" s="73">
        <f>SUM(L5:L801)</f>
        <v>0</v>
      </c>
    </row>
    <row r="4" spans="1:12" s="39" customFormat="1" ht="33.75" customHeight="1" x14ac:dyDescent="0.2">
      <c r="A4" s="112" t="s">
        <v>45</v>
      </c>
      <c r="B4" s="113"/>
      <c r="C4" s="113"/>
      <c r="D4" s="113"/>
      <c r="E4" s="113"/>
      <c r="F4" s="113"/>
      <c r="G4" s="113"/>
      <c r="H4" s="113"/>
      <c r="I4" s="113"/>
      <c r="J4" s="113"/>
      <c r="K4" s="113"/>
      <c r="L4" s="102"/>
    </row>
    <row r="5" spans="1:12" ht="36.75" customHeight="1" x14ac:dyDescent="0.2">
      <c r="A5" s="114" t="s">
        <v>9</v>
      </c>
      <c r="B5" s="40" t="s">
        <v>29</v>
      </c>
      <c r="C5" s="41" t="s">
        <v>78</v>
      </c>
      <c r="D5" s="42">
        <v>44012</v>
      </c>
      <c r="E5" s="42">
        <v>44012</v>
      </c>
      <c r="F5" s="43" t="s">
        <v>64</v>
      </c>
      <c r="G5" s="42" t="s">
        <v>79</v>
      </c>
      <c r="H5" s="77" t="s">
        <v>65</v>
      </c>
      <c r="I5" s="45">
        <v>0.5</v>
      </c>
      <c r="J5" s="46">
        <v>0.5</v>
      </c>
      <c r="K5" s="46">
        <v>0</v>
      </c>
      <c r="L5" s="45">
        <v>0</v>
      </c>
    </row>
    <row r="6" spans="1:12" ht="31.5" customHeight="1" x14ac:dyDescent="0.2">
      <c r="A6" s="114"/>
      <c r="B6" s="47" t="s">
        <v>30</v>
      </c>
      <c r="C6" s="76" t="s">
        <v>80</v>
      </c>
      <c r="D6" s="42">
        <v>44012</v>
      </c>
      <c r="E6" s="42">
        <v>44012</v>
      </c>
      <c r="F6" s="43" t="s">
        <v>64</v>
      </c>
      <c r="G6" s="42" t="s">
        <v>81</v>
      </c>
      <c r="H6" s="77" t="s">
        <v>65</v>
      </c>
      <c r="I6" s="45">
        <v>1</v>
      </c>
      <c r="J6" s="48">
        <v>1</v>
      </c>
      <c r="K6" s="48">
        <v>0</v>
      </c>
      <c r="L6" s="139">
        <v>0</v>
      </c>
    </row>
    <row r="7" spans="1:12" ht="36" customHeight="1" x14ac:dyDescent="0.2">
      <c r="A7" s="114"/>
      <c r="B7" s="40" t="s">
        <v>31</v>
      </c>
      <c r="C7" s="98" t="s">
        <v>82</v>
      </c>
      <c r="D7" s="42">
        <v>44012</v>
      </c>
      <c r="E7" s="42">
        <v>44012</v>
      </c>
      <c r="F7" s="43" t="s">
        <v>64</v>
      </c>
      <c r="G7" s="42" t="s">
        <v>81</v>
      </c>
      <c r="H7" s="77" t="s">
        <v>65</v>
      </c>
      <c r="I7" s="45">
        <v>0.5</v>
      </c>
      <c r="J7" s="48">
        <v>0.5</v>
      </c>
      <c r="K7" s="48">
        <v>0</v>
      </c>
      <c r="L7" s="139">
        <v>0</v>
      </c>
    </row>
    <row r="8" spans="1:12" ht="36.75" customHeight="1" x14ac:dyDescent="0.2">
      <c r="A8" s="114"/>
      <c r="B8" s="47" t="s">
        <v>32</v>
      </c>
      <c r="C8" s="49" t="s">
        <v>83</v>
      </c>
      <c r="D8" s="42">
        <v>44012</v>
      </c>
      <c r="E8" s="42">
        <v>44012</v>
      </c>
      <c r="F8" s="43" t="s">
        <v>64</v>
      </c>
      <c r="G8" s="42" t="s">
        <v>81</v>
      </c>
      <c r="H8" s="77" t="s">
        <v>65</v>
      </c>
      <c r="I8" s="45">
        <v>0.5</v>
      </c>
      <c r="J8" s="48">
        <v>0.5</v>
      </c>
      <c r="K8" s="48">
        <v>0</v>
      </c>
      <c r="L8" s="139">
        <v>0</v>
      </c>
    </row>
    <row r="9" spans="1:12" ht="33" customHeight="1" x14ac:dyDescent="0.2">
      <c r="A9" s="114"/>
      <c r="B9" s="40" t="s">
        <v>33</v>
      </c>
      <c r="C9" s="49" t="s">
        <v>84</v>
      </c>
      <c r="D9" s="42">
        <v>44012</v>
      </c>
      <c r="E9" s="42">
        <v>44012</v>
      </c>
      <c r="F9" s="43" t="s">
        <v>64</v>
      </c>
      <c r="G9" s="42" t="s">
        <v>81</v>
      </c>
      <c r="H9" s="77" t="s">
        <v>65</v>
      </c>
      <c r="I9" s="45">
        <v>0.5</v>
      </c>
      <c r="J9" s="48">
        <v>0.5</v>
      </c>
      <c r="K9" s="48">
        <v>0</v>
      </c>
      <c r="L9" s="139">
        <v>0</v>
      </c>
    </row>
    <row r="10" spans="1:12" ht="33.75" customHeight="1" x14ac:dyDescent="0.2">
      <c r="A10" s="114"/>
      <c r="B10" s="47" t="s">
        <v>34</v>
      </c>
      <c r="C10" s="49" t="s">
        <v>85</v>
      </c>
      <c r="D10" s="42">
        <v>44012</v>
      </c>
      <c r="E10" s="42">
        <v>44012</v>
      </c>
      <c r="F10" s="43" t="s">
        <v>64</v>
      </c>
      <c r="G10" s="42" t="s">
        <v>81</v>
      </c>
      <c r="H10" s="77" t="s">
        <v>65</v>
      </c>
      <c r="I10" s="45">
        <v>1</v>
      </c>
      <c r="J10" s="48">
        <v>1</v>
      </c>
      <c r="K10" s="48">
        <v>0</v>
      </c>
      <c r="L10" s="139">
        <v>0</v>
      </c>
    </row>
    <row r="11" spans="1:12" ht="37.5" customHeight="1" x14ac:dyDescent="0.2">
      <c r="A11" s="114"/>
      <c r="B11" s="40" t="s">
        <v>35</v>
      </c>
      <c r="C11" s="49" t="s">
        <v>86</v>
      </c>
      <c r="D11" s="42">
        <v>44012</v>
      </c>
      <c r="E11" s="42">
        <v>44012</v>
      </c>
      <c r="F11" s="43" t="s">
        <v>64</v>
      </c>
      <c r="G11" s="42" t="s">
        <v>87</v>
      </c>
      <c r="H11" s="77" t="s">
        <v>65</v>
      </c>
      <c r="I11" s="45">
        <v>1</v>
      </c>
      <c r="J11" s="48">
        <v>1</v>
      </c>
      <c r="K11" s="48">
        <v>0</v>
      </c>
      <c r="L11" s="139">
        <v>0</v>
      </c>
    </row>
    <row r="12" spans="1:12" ht="36" customHeight="1" thickBot="1" x14ac:dyDescent="0.25">
      <c r="A12" s="115"/>
      <c r="B12" s="79" t="s">
        <v>57</v>
      </c>
      <c r="C12" s="80" t="s">
        <v>88</v>
      </c>
      <c r="D12" s="42">
        <v>44012</v>
      </c>
      <c r="E12" s="42">
        <v>44012</v>
      </c>
      <c r="F12" s="43" t="s">
        <v>64</v>
      </c>
      <c r="G12" s="81" t="s">
        <v>87</v>
      </c>
      <c r="H12" s="77" t="s">
        <v>65</v>
      </c>
      <c r="I12" s="84">
        <v>0.5</v>
      </c>
      <c r="J12" s="85">
        <v>0.5</v>
      </c>
      <c r="K12" s="85">
        <v>0</v>
      </c>
      <c r="L12" s="140">
        <v>0</v>
      </c>
    </row>
    <row r="13" spans="1:12" ht="38.25" customHeight="1" x14ac:dyDescent="0.2">
      <c r="A13" s="100"/>
      <c r="B13" s="40" t="s">
        <v>29</v>
      </c>
      <c r="C13" s="41" t="s">
        <v>89</v>
      </c>
      <c r="D13" s="42">
        <v>44012</v>
      </c>
      <c r="E13" s="42">
        <v>44012</v>
      </c>
      <c r="F13" s="43" t="s">
        <v>64</v>
      </c>
      <c r="G13" s="42" t="s">
        <v>81</v>
      </c>
      <c r="H13" s="77" t="s">
        <v>65</v>
      </c>
      <c r="I13" s="45">
        <v>1.25</v>
      </c>
      <c r="J13" s="46">
        <v>1.25</v>
      </c>
      <c r="K13" s="46">
        <v>0</v>
      </c>
      <c r="L13" s="45">
        <v>0</v>
      </c>
    </row>
    <row r="14" spans="1:12" ht="40.5" customHeight="1" x14ac:dyDescent="0.2">
      <c r="A14" s="100"/>
      <c r="B14" s="47" t="s">
        <v>30</v>
      </c>
      <c r="C14" s="49" t="s">
        <v>90</v>
      </c>
      <c r="D14" s="42">
        <v>44012</v>
      </c>
      <c r="E14" s="42">
        <v>44012</v>
      </c>
      <c r="F14" s="43" t="s">
        <v>64</v>
      </c>
      <c r="G14" s="42" t="s">
        <v>79</v>
      </c>
      <c r="H14" s="77" t="s">
        <v>65</v>
      </c>
      <c r="I14" s="45">
        <v>0.5</v>
      </c>
      <c r="J14" s="48">
        <v>0.5</v>
      </c>
      <c r="K14" s="48">
        <v>0</v>
      </c>
      <c r="L14" s="139">
        <v>0</v>
      </c>
    </row>
    <row r="15" spans="1:12" ht="40.5" customHeight="1" x14ac:dyDescent="0.2">
      <c r="A15" s="100"/>
      <c r="B15" s="47" t="s">
        <v>31</v>
      </c>
      <c r="C15" s="49" t="s">
        <v>91</v>
      </c>
      <c r="D15" s="42">
        <v>44012</v>
      </c>
      <c r="E15" s="42">
        <v>44012</v>
      </c>
      <c r="F15" s="43" t="s">
        <v>64</v>
      </c>
      <c r="G15" s="42" t="s">
        <v>81</v>
      </c>
      <c r="H15" s="77" t="s">
        <v>65</v>
      </c>
      <c r="I15" s="45">
        <v>0.5</v>
      </c>
      <c r="J15" s="48">
        <v>0.5</v>
      </c>
      <c r="K15" s="48">
        <v>0</v>
      </c>
      <c r="L15" s="139">
        <v>0</v>
      </c>
    </row>
    <row r="16" spans="1:12" ht="34.5" customHeight="1" x14ac:dyDescent="0.2">
      <c r="A16" s="100" t="s">
        <v>92</v>
      </c>
      <c r="B16" s="47" t="s">
        <v>32</v>
      </c>
      <c r="C16" s="49" t="s">
        <v>83</v>
      </c>
      <c r="D16" s="42">
        <v>44012</v>
      </c>
      <c r="E16" s="42">
        <v>44012</v>
      </c>
      <c r="F16" s="43" t="s">
        <v>64</v>
      </c>
      <c r="G16" s="42" t="s">
        <v>81</v>
      </c>
      <c r="H16" s="77" t="s">
        <v>65</v>
      </c>
      <c r="I16" s="45">
        <v>0.5</v>
      </c>
      <c r="J16" s="48">
        <v>0.5</v>
      </c>
      <c r="K16" s="48">
        <v>0</v>
      </c>
      <c r="L16" s="139">
        <v>0</v>
      </c>
    </row>
    <row r="17" spans="1:12" ht="42" customHeight="1" x14ac:dyDescent="0.2">
      <c r="A17" s="100"/>
      <c r="B17" s="47" t="s">
        <v>33</v>
      </c>
      <c r="C17" s="49" t="s">
        <v>93</v>
      </c>
      <c r="D17" s="42">
        <v>44012</v>
      </c>
      <c r="E17" s="42">
        <v>44012</v>
      </c>
      <c r="F17" s="43" t="s">
        <v>64</v>
      </c>
      <c r="G17" s="42" t="s">
        <v>81</v>
      </c>
      <c r="H17" s="77" t="s">
        <v>65</v>
      </c>
      <c r="I17" s="45">
        <v>0.5</v>
      </c>
      <c r="J17" s="48">
        <v>0.5</v>
      </c>
      <c r="K17" s="48">
        <v>0</v>
      </c>
      <c r="L17" s="139">
        <v>0</v>
      </c>
    </row>
    <row r="18" spans="1:12" ht="39.75" customHeight="1" x14ac:dyDescent="0.2">
      <c r="A18" s="100"/>
      <c r="B18" s="47" t="s">
        <v>34</v>
      </c>
      <c r="C18" s="49" t="s">
        <v>88</v>
      </c>
      <c r="D18" s="42">
        <v>44012</v>
      </c>
      <c r="E18" s="42">
        <v>44012</v>
      </c>
      <c r="F18" s="43" t="s">
        <v>64</v>
      </c>
      <c r="G18" s="42" t="s">
        <v>87</v>
      </c>
      <c r="H18" s="77" t="s">
        <v>65</v>
      </c>
      <c r="I18" s="45">
        <v>0.5</v>
      </c>
      <c r="J18" s="48">
        <v>0.5</v>
      </c>
      <c r="K18" s="48">
        <v>0</v>
      </c>
      <c r="L18" s="139">
        <v>0</v>
      </c>
    </row>
    <row r="19" spans="1:12" ht="26.25" customHeight="1" thickBot="1" x14ac:dyDescent="0.25">
      <c r="A19" s="101"/>
      <c r="B19" s="79" t="s">
        <v>35</v>
      </c>
      <c r="C19" s="80"/>
      <c r="D19" s="81"/>
      <c r="E19" s="81"/>
      <c r="F19" s="43"/>
      <c r="G19" s="81"/>
      <c r="H19" s="77"/>
      <c r="I19" s="84"/>
      <c r="J19" s="85"/>
      <c r="K19" s="85"/>
      <c r="L19" s="140"/>
    </row>
    <row r="20" spans="1:12" ht="27.75" customHeight="1" x14ac:dyDescent="0.2">
      <c r="A20" s="100"/>
      <c r="B20" s="40" t="s">
        <v>29</v>
      </c>
      <c r="C20" s="41" t="s">
        <v>94</v>
      </c>
      <c r="D20" s="42">
        <v>44013</v>
      </c>
      <c r="E20" s="42">
        <v>44013</v>
      </c>
      <c r="F20" s="43" t="s">
        <v>64</v>
      </c>
      <c r="G20" s="42" t="s">
        <v>81</v>
      </c>
      <c r="H20" s="77" t="s">
        <v>65</v>
      </c>
      <c r="I20" s="45">
        <v>1.25</v>
      </c>
      <c r="J20" s="46">
        <v>0</v>
      </c>
      <c r="K20" s="46">
        <v>1.25</v>
      </c>
      <c r="L20" s="45">
        <v>0</v>
      </c>
    </row>
    <row r="21" spans="1:12" ht="33" customHeight="1" x14ac:dyDescent="0.2">
      <c r="A21" s="100"/>
      <c r="B21" s="47" t="s">
        <v>30</v>
      </c>
      <c r="C21" s="49" t="s">
        <v>95</v>
      </c>
      <c r="D21" s="42">
        <v>44013</v>
      </c>
      <c r="E21" s="42">
        <v>44013</v>
      </c>
      <c r="F21" s="43" t="s">
        <v>64</v>
      </c>
      <c r="G21" s="42" t="s">
        <v>81</v>
      </c>
      <c r="H21" s="77" t="s">
        <v>65</v>
      </c>
      <c r="I21" s="45">
        <v>0.25</v>
      </c>
      <c r="J21" s="45">
        <v>0</v>
      </c>
      <c r="K21" s="48">
        <v>0.25</v>
      </c>
      <c r="L21" s="139">
        <v>0</v>
      </c>
    </row>
    <row r="22" spans="1:12" ht="32.25" customHeight="1" x14ac:dyDescent="0.2">
      <c r="A22" s="100"/>
      <c r="B22" s="47" t="s">
        <v>31</v>
      </c>
      <c r="C22" s="49" t="s">
        <v>83</v>
      </c>
      <c r="D22" s="42">
        <v>44013</v>
      </c>
      <c r="E22" s="42">
        <v>44013</v>
      </c>
      <c r="F22" s="43" t="s">
        <v>64</v>
      </c>
      <c r="G22" s="42" t="s">
        <v>81</v>
      </c>
      <c r="H22" s="77" t="s">
        <v>65</v>
      </c>
      <c r="I22" s="45">
        <v>0.25</v>
      </c>
      <c r="J22" s="45">
        <v>0</v>
      </c>
      <c r="K22" s="48">
        <v>0.25</v>
      </c>
      <c r="L22" s="139">
        <v>0</v>
      </c>
    </row>
    <row r="23" spans="1:12" ht="31.5" customHeight="1" x14ac:dyDescent="0.2">
      <c r="A23" s="100" t="s">
        <v>96</v>
      </c>
      <c r="B23" s="47" t="s">
        <v>32</v>
      </c>
      <c r="C23" s="49" t="s">
        <v>97</v>
      </c>
      <c r="D23" s="42">
        <v>44013</v>
      </c>
      <c r="E23" s="42">
        <v>44013</v>
      </c>
      <c r="F23" s="43" t="s">
        <v>64</v>
      </c>
      <c r="G23" s="42" t="s">
        <v>81</v>
      </c>
      <c r="H23" s="77" t="s">
        <v>65</v>
      </c>
      <c r="I23" s="45">
        <v>0.5</v>
      </c>
      <c r="J23" s="45">
        <v>0</v>
      </c>
      <c r="K23" s="48">
        <v>0.5</v>
      </c>
      <c r="L23" s="139">
        <v>0</v>
      </c>
    </row>
    <row r="24" spans="1:12" ht="35.25" customHeight="1" x14ac:dyDescent="0.2">
      <c r="A24" s="100"/>
      <c r="B24" s="47" t="s">
        <v>33</v>
      </c>
      <c r="C24" s="49" t="s">
        <v>98</v>
      </c>
      <c r="D24" s="42">
        <v>44013</v>
      </c>
      <c r="E24" s="42">
        <v>44013</v>
      </c>
      <c r="F24" s="43" t="s">
        <v>64</v>
      </c>
      <c r="G24" s="42" t="s">
        <v>81</v>
      </c>
      <c r="H24" s="77" t="s">
        <v>65</v>
      </c>
      <c r="I24" s="45">
        <v>0.5</v>
      </c>
      <c r="J24" s="45">
        <v>0</v>
      </c>
      <c r="K24" s="48">
        <v>0.5</v>
      </c>
      <c r="L24" s="139">
        <v>0</v>
      </c>
    </row>
    <row r="25" spans="1:12" ht="30.75" customHeight="1" x14ac:dyDescent="0.2">
      <c r="A25" s="100"/>
      <c r="B25" s="47" t="s">
        <v>34</v>
      </c>
      <c r="C25" s="49" t="s">
        <v>88</v>
      </c>
      <c r="D25" s="42">
        <v>44013</v>
      </c>
      <c r="E25" s="42">
        <v>44013</v>
      </c>
      <c r="F25" s="43" t="s">
        <v>64</v>
      </c>
      <c r="G25" s="42" t="s">
        <v>87</v>
      </c>
      <c r="H25" s="77" t="s">
        <v>65</v>
      </c>
      <c r="I25" s="45">
        <v>0.25</v>
      </c>
      <c r="J25" s="45">
        <v>0</v>
      </c>
      <c r="K25" s="48">
        <v>0.25</v>
      </c>
      <c r="L25" s="139">
        <v>0</v>
      </c>
    </row>
    <row r="26" spans="1:12" ht="24" customHeight="1" thickBot="1" x14ac:dyDescent="0.25">
      <c r="A26" s="101"/>
      <c r="B26" s="79" t="s">
        <v>35</v>
      </c>
      <c r="C26" s="80"/>
      <c r="D26" s="81"/>
      <c r="E26" s="81"/>
      <c r="F26" s="43"/>
      <c r="G26" s="81"/>
      <c r="H26" s="77"/>
      <c r="I26" s="84"/>
      <c r="J26" s="85"/>
      <c r="K26" s="85"/>
      <c r="L26" s="140"/>
    </row>
    <row r="27" spans="1:12" ht="33" customHeight="1" x14ac:dyDescent="0.2">
      <c r="A27" s="100"/>
      <c r="B27" s="40" t="s">
        <v>29</v>
      </c>
      <c r="C27" s="41" t="s">
        <v>99</v>
      </c>
      <c r="D27" s="42">
        <v>44013</v>
      </c>
      <c r="E27" s="42">
        <v>44013</v>
      </c>
      <c r="F27" s="43" t="s">
        <v>64</v>
      </c>
      <c r="G27" s="42" t="s">
        <v>81</v>
      </c>
      <c r="H27" s="77" t="s">
        <v>65</v>
      </c>
      <c r="I27" s="45">
        <v>1.25</v>
      </c>
      <c r="J27" s="46">
        <v>0</v>
      </c>
      <c r="K27" s="46">
        <v>1.25</v>
      </c>
      <c r="L27" s="45">
        <v>0</v>
      </c>
    </row>
    <row r="28" spans="1:12" ht="27.75" customHeight="1" x14ac:dyDescent="0.2">
      <c r="A28" s="100"/>
      <c r="B28" s="47" t="s">
        <v>30</v>
      </c>
      <c r="C28" s="49" t="s">
        <v>100</v>
      </c>
      <c r="D28" s="42">
        <v>44013</v>
      </c>
      <c r="E28" s="42">
        <v>44013</v>
      </c>
      <c r="F28" s="43" t="s">
        <v>64</v>
      </c>
      <c r="G28" s="42" t="s">
        <v>81</v>
      </c>
      <c r="H28" s="77" t="s">
        <v>65</v>
      </c>
      <c r="I28" s="45">
        <v>1</v>
      </c>
      <c r="J28" s="48">
        <v>0</v>
      </c>
      <c r="K28" s="45">
        <v>1</v>
      </c>
      <c r="L28" s="139">
        <v>0</v>
      </c>
    </row>
    <row r="29" spans="1:12" ht="29.25" customHeight="1" x14ac:dyDescent="0.2">
      <c r="A29" s="100"/>
      <c r="B29" s="47" t="s">
        <v>31</v>
      </c>
      <c r="C29" s="49" t="s">
        <v>83</v>
      </c>
      <c r="D29" s="42">
        <v>44013</v>
      </c>
      <c r="E29" s="42">
        <v>44013</v>
      </c>
      <c r="F29" s="43" t="s">
        <v>64</v>
      </c>
      <c r="G29" s="42" t="s">
        <v>81</v>
      </c>
      <c r="H29" s="77" t="s">
        <v>65</v>
      </c>
      <c r="I29" s="45">
        <v>0.5</v>
      </c>
      <c r="J29" s="48">
        <v>0</v>
      </c>
      <c r="K29" s="45">
        <v>0.5</v>
      </c>
      <c r="L29" s="139">
        <v>0</v>
      </c>
    </row>
    <row r="30" spans="1:12" ht="28.5" customHeight="1" x14ac:dyDescent="0.2">
      <c r="A30" s="100" t="s">
        <v>101</v>
      </c>
      <c r="B30" s="47" t="s">
        <v>32</v>
      </c>
      <c r="C30" s="49" t="s">
        <v>102</v>
      </c>
      <c r="D30" s="42">
        <v>44013</v>
      </c>
      <c r="E30" s="42">
        <v>44013</v>
      </c>
      <c r="F30" s="43" t="s">
        <v>64</v>
      </c>
      <c r="G30" s="42" t="s">
        <v>81</v>
      </c>
      <c r="H30" s="77" t="s">
        <v>65</v>
      </c>
      <c r="I30" s="45">
        <v>1</v>
      </c>
      <c r="J30" s="48">
        <v>0</v>
      </c>
      <c r="K30" s="45">
        <v>1</v>
      </c>
      <c r="L30" s="139">
        <v>0</v>
      </c>
    </row>
    <row r="31" spans="1:12" ht="33" customHeight="1" x14ac:dyDescent="0.2">
      <c r="A31" s="100"/>
      <c r="B31" s="47" t="s">
        <v>33</v>
      </c>
      <c r="C31" s="49" t="s">
        <v>88</v>
      </c>
      <c r="D31" s="42">
        <v>44013</v>
      </c>
      <c r="E31" s="42">
        <v>44013</v>
      </c>
      <c r="F31" s="43" t="s">
        <v>64</v>
      </c>
      <c r="G31" s="42" t="s">
        <v>87</v>
      </c>
      <c r="H31" s="77" t="s">
        <v>65</v>
      </c>
      <c r="I31" s="45">
        <v>0.5</v>
      </c>
      <c r="J31" s="48">
        <v>0</v>
      </c>
      <c r="K31" s="45">
        <v>0.5</v>
      </c>
      <c r="L31" s="139">
        <v>0</v>
      </c>
    </row>
    <row r="32" spans="1:12" ht="20.25" customHeight="1" x14ac:dyDescent="0.2">
      <c r="A32" s="100"/>
      <c r="B32" s="47" t="s">
        <v>34</v>
      </c>
      <c r="D32" s="42"/>
      <c r="E32" s="42"/>
      <c r="F32" s="43"/>
      <c r="G32" s="42"/>
      <c r="H32" s="77"/>
      <c r="I32" s="45"/>
      <c r="J32" s="48"/>
      <c r="K32" s="48"/>
      <c r="L32" s="139"/>
    </row>
    <row r="33" spans="1:12" ht="24.75" customHeight="1" thickBot="1" x14ac:dyDescent="0.25">
      <c r="A33" s="101"/>
      <c r="B33" s="79" t="s">
        <v>35</v>
      </c>
      <c r="C33" s="80"/>
      <c r="D33" s="81"/>
      <c r="E33" s="81"/>
      <c r="F33" s="43"/>
      <c r="G33" s="81"/>
      <c r="H33" s="77"/>
      <c r="I33" s="84"/>
      <c r="J33" s="85"/>
      <c r="K33" s="85"/>
      <c r="L33" s="140"/>
    </row>
    <row r="34" spans="1:12" ht="21" customHeight="1" x14ac:dyDescent="0.2">
      <c r="A34" s="70"/>
      <c r="B34" s="40" t="s">
        <v>29</v>
      </c>
      <c r="C34" s="41"/>
      <c r="D34" s="42"/>
      <c r="E34" s="42"/>
      <c r="F34" s="86"/>
      <c r="G34" s="42"/>
      <c r="H34" s="77"/>
      <c r="I34" s="45"/>
      <c r="J34" s="46"/>
      <c r="K34" s="46"/>
      <c r="L34" s="46"/>
    </row>
    <row r="35" spans="1:12" ht="21.75" customHeight="1" x14ac:dyDescent="0.2">
      <c r="A35" s="70"/>
      <c r="B35" s="47" t="s">
        <v>30</v>
      </c>
      <c r="C35" s="49"/>
      <c r="D35" s="42"/>
      <c r="E35" s="42"/>
      <c r="F35" s="69"/>
      <c r="G35" s="42"/>
      <c r="H35" s="44"/>
      <c r="I35" s="45"/>
      <c r="J35" s="48"/>
      <c r="K35" s="48"/>
      <c r="L35" s="48"/>
    </row>
    <row r="36" spans="1:12" ht="21.75" customHeight="1" x14ac:dyDescent="0.2">
      <c r="A36" s="70"/>
      <c r="B36" s="47" t="s">
        <v>31</v>
      </c>
      <c r="C36" s="49"/>
      <c r="D36" s="42"/>
      <c r="E36" s="42"/>
      <c r="F36" s="69"/>
      <c r="G36" s="42"/>
      <c r="H36" s="44"/>
      <c r="I36" s="45"/>
      <c r="J36" s="48"/>
      <c r="K36" s="48"/>
      <c r="L36" s="48"/>
    </row>
    <row r="37" spans="1:12" ht="21.75" customHeight="1" x14ac:dyDescent="0.2">
      <c r="A37" s="70"/>
      <c r="B37" s="47" t="s">
        <v>32</v>
      </c>
      <c r="C37" s="49"/>
      <c r="D37" s="42"/>
      <c r="E37" s="42"/>
      <c r="F37" s="69"/>
      <c r="G37" s="42"/>
      <c r="H37" s="44"/>
      <c r="I37" s="45"/>
      <c r="J37" s="48"/>
      <c r="K37" s="48"/>
      <c r="L37" s="48"/>
    </row>
    <row r="38" spans="1:12" ht="21.75" customHeight="1" x14ac:dyDescent="0.2">
      <c r="A38" s="70"/>
      <c r="B38" s="47" t="s">
        <v>33</v>
      </c>
      <c r="C38" s="49"/>
      <c r="D38" s="42"/>
      <c r="E38" s="42"/>
      <c r="F38" s="69"/>
      <c r="G38" s="42"/>
      <c r="H38" s="44"/>
      <c r="I38" s="45"/>
      <c r="J38" s="48"/>
      <c r="K38" s="48"/>
      <c r="L38" s="48"/>
    </row>
    <row r="39" spans="1:12" ht="21.75" customHeight="1" x14ac:dyDescent="0.2">
      <c r="A39" s="70"/>
      <c r="B39" s="47" t="s">
        <v>34</v>
      </c>
      <c r="C39" s="49"/>
      <c r="D39" s="42"/>
      <c r="E39" s="42"/>
      <c r="F39" s="69"/>
      <c r="G39" s="42"/>
      <c r="H39" s="44"/>
      <c r="I39" s="45"/>
      <c r="J39" s="48"/>
      <c r="K39" s="48"/>
      <c r="L39" s="48"/>
    </row>
    <row r="40" spans="1:12" ht="21" customHeight="1" thickBot="1" x14ac:dyDescent="0.25">
      <c r="A40" s="78"/>
      <c r="B40" s="79" t="s">
        <v>35</v>
      </c>
      <c r="C40" s="80"/>
      <c r="D40" s="81"/>
      <c r="E40" s="81"/>
      <c r="F40" s="87"/>
      <c r="G40" s="81"/>
      <c r="H40" s="83"/>
      <c r="I40" s="84"/>
      <c r="J40" s="85"/>
      <c r="K40" s="85"/>
      <c r="L40" s="85"/>
    </row>
    <row r="41" spans="1:12" ht="19.5" customHeight="1" x14ac:dyDescent="0.2">
      <c r="A41" s="70"/>
      <c r="B41" s="40" t="s">
        <v>29</v>
      </c>
      <c r="C41" s="41"/>
      <c r="D41" s="42"/>
      <c r="E41" s="42"/>
      <c r="F41" s="43"/>
      <c r="G41" s="42"/>
      <c r="H41" s="77"/>
      <c r="I41" s="45"/>
      <c r="J41" s="46"/>
      <c r="K41" s="46"/>
      <c r="L41" s="46"/>
    </row>
    <row r="42" spans="1:12" ht="17.25" customHeight="1" x14ac:dyDescent="0.2">
      <c r="A42" s="70"/>
      <c r="B42" s="47" t="s">
        <v>30</v>
      </c>
      <c r="C42" s="49"/>
      <c r="D42" s="42"/>
      <c r="E42" s="42"/>
      <c r="F42" s="43"/>
      <c r="G42" s="42"/>
      <c r="H42" s="44"/>
      <c r="I42" s="45"/>
      <c r="J42" s="48"/>
      <c r="K42" s="48"/>
      <c r="L42" s="48"/>
    </row>
    <row r="43" spans="1:12" ht="17.25" customHeight="1" x14ac:dyDescent="0.2">
      <c r="A43" s="70"/>
      <c r="B43" s="47" t="s">
        <v>31</v>
      </c>
      <c r="C43" s="49"/>
      <c r="D43" s="42"/>
      <c r="E43" s="42"/>
      <c r="F43" s="43"/>
      <c r="G43" s="42"/>
      <c r="H43" s="44"/>
      <c r="I43" s="45"/>
      <c r="J43" s="48"/>
      <c r="K43" s="48"/>
      <c r="L43" s="48"/>
    </row>
    <row r="44" spans="1:12" ht="17.25" customHeight="1" x14ac:dyDescent="0.2">
      <c r="A44" s="70"/>
      <c r="B44" s="47" t="s">
        <v>32</v>
      </c>
      <c r="C44" s="49"/>
      <c r="D44" s="42"/>
      <c r="E44" s="42"/>
      <c r="F44" s="43"/>
      <c r="G44" s="42"/>
      <c r="H44" s="44"/>
      <c r="I44" s="45"/>
      <c r="J44" s="48"/>
      <c r="K44" s="48"/>
      <c r="L44" s="48"/>
    </row>
    <row r="45" spans="1:12" ht="17.25" customHeight="1" x14ac:dyDescent="0.2">
      <c r="A45" s="70"/>
      <c r="B45" s="47" t="s">
        <v>33</v>
      </c>
      <c r="C45" s="49"/>
      <c r="D45" s="42"/>
      <c r="E45" s="42"/>
      <c r="F45" s="43"/>
      <c r="G45" s="42"/>
      <c r="H45" s="44"/>
      <c r="I45" s="45"/>
      <c r="J45" s="48"/>
      <c r="K45" s="48"/>
      <c r="L45" s="48"/>
    </row>
    <row r="46" spans="1:12" ht="17.25" customHeight="1" x14ac:dyDescent="0.2">
      <c r="A46" s="70"/>
      <c r="B46" s="47" t="s">
        <v>34</v>
      </c>
      <c r="C46" s="49"/>
      <c r="D46" s="42"/>
      <c r="E46" s="42"/>
      <c r="F46" s="43"/>
      <c r="G46" s="42"/>
      <c r="H46" s="44"/>
      <c r="I46" s="45"/>
      <c r="J46" s="48"/>
      <c r="K46" s="48"/>
      <c r="L46" s="48"/>
    </row>
    <row r="47" spans="1:12" ht="25.5" customHeight="1" thickBot="1" x14ac:dyDescent="0.25">
      <c r="A47" s="78"/>
      <c r="B47" s="79" t="s">
        <v>35</v>
      </c>
      <c r="C47" s="80"/>
      <c r="D47" s="81"/>
      <c r="E47" s="81"/>
      <c r="F47" s="82"/>
      <c r="G47" s="81"/>
      <c r="H47" s="83"/>
      <c r="I47" s="84"/>
      <c r="J47" s="85"/>
      <c r="K47" s="85"/>
      <c r="L47" s="85"/>
    </row>
    <row r="48" spans="1:12" ht="18.75" customHeight="1" x14ac:dyDescent="0.2">
      <c r="A48" s="70"/>
      <c r="B48" s="40" t="s">
        <v>29</v>
      </c>
      <c r="C48" s="41"/>
      <c r="D48" s="42"/>
      <c r="E48" s="42"/>
      <c r="F48" s="43"/>
      <c r="G48" s="42"/>
      <c r="H48" s="77"/>
      <c r="I48" s="45"/>
      <c r="J48" s="46"/>
      <c r="K48" s="46"/>
      <c r="L48" s="46"/>
    </row>
    <row r="49" spans="1:12" ht="19.5" customHeight="1" x14ac:dyDescent="0.2">
      <c r="A49" s="70"/>
      <c r="B49" s="47" t="s">
        <v>30</v>
      </c>
      <c r="C49" s="49" t="s">
        <v>42</v>
      </c>
      <c r="D49" s="42" t="s">
        <v>42</v>
      </c>
      <c r="E49" s="42" t="s">
        <v>42</v>
      </c>
      <c r="F49" s="43"/>
      <c r="G49" s="42"/>
      <c r="H49" s="44"/>
      <c r="I49" s="45"/>
      <c r="J49" s="48"/>
      <c r="K49" s="48"/>
      <c r="L49" s="48"/>
    </row>
    <row r="50" spans="1:12" ht="19.5" customHeight="1" x14ac:dyDescent="0.2">
      <c r="A50" s="70"/>
      <c r="B50" s="47" t="s">
        <v>31</v>
      </c>
      <c r="C50" s="49"/>
      <c r="D50" s="42"/>
      <c r="E50" s="42"/>
      <c r="F50" s="43"/>
      <c r="G50" s="42"/>
      <c r="H50" s="44"/>
      <c r="I50" s="45"/>
      <c r="J50" s="48"/>
      <c r="K50" s="48"/>
      <c r="L50" s="48"/>
    </row>
    <row r="51" spans="1:12" ht="19.5" customHeight="1" x14ac:dyDescent="0.2">
      <c r="A51" s="70"/>
      <c r="B51" s="47" t="s">
        <v>32</v>
      </c>
      <c r="C51" s="49"/>
      <c r="D51" s="42"/>
      <c r="E51" s="42"/>
      <c r="F51" s="43"/>
      <c r="G51" s="42"/>
      <c r="H51" s="44"/>
      <c r="I51" s="45"/>
      <c r="J51" s="48"/>
      <c r="K51" s="48"/>
      <c r="L51" s="48"/>
    </row>
    <row r="52" spans="1:12" ht="19.5" customHeight="1" x14ac:dyDescent="0.2">
      <c r="A52" s="70"/>
      <c r="B52" s="47" t="s">
        <v>33</v>
      </c>
      <c r="C52" s="49"/>
      <c r="D52" s="42"/>
      <c r="E52" s="42"/>
      <c r="F52" s="43"/>
      <c r="G52" s="42"/>
      <c r="H52" s="44"/>
      <c r="I52" s="45"/>
      <c r="J52" s="48"/>
      <c r="K52" s="48"/>
      <c r="L52" s="48"/>
    </row>
    <row r="53" spans="1:12" ht="19.5" customHeight="1" x14ac:dyDescent="0.2">
      <c r="A53" s="70"/>
      <c r="B53" s="47" t="s">
        <v>34</v>
      </c>
      <c r="C53" s="49"/>
      <c r="D53" s="42"/>
      <c r="E53" s="42"/>
      <c r="F53" s="43"/>
      <c r="G53" s="42"/>
      <c r="H53" s="44"/>
      <c r="I53" s="45"/>
      <c r="J53" s="48"/>
      <c r="K53" s="48"/>
      <c r="L53" s="48"/>
    </row>
    <row r="54" spans="1:12" ht="20.25" customHeight="1" thickBot="1" x14ac:dyDescent="0.25">
      <c r="A54" s="78"/>
      <c r="B54" s="79" t="s">
        <v>35</v>
      </c>
      <c r="C54" s="80" t="s">
        <v>42</v>
      </c>
      <c r="D54" s="81" t="s">
        <v>42</v>
      </c>
      <c r="E54" s="81" t="s">
        <v>42</v>
      </c>
      <c r="F54" s="82"/>
      <c r="G54" s="81"/>
      <c r="H54" s="83"/>
      <c r="I54" s="84"/>
      <c r="J54" s="85"/>
      <c r="K54" s="85"/>
      <c r="L54" s="85"/>
    </row>
    <row r="55" spans="1:12" ht="18" customHeight="1" x14ac:dyDescent="0.2">
      <c r="A55" s="70"/>
      <c r="B55" s="40" t="s">
        <v>29</v>
      </c>
      <c r="C55" s="41" t="s">
        <v>42</v>
      </c>
      <c r="D55" s="42" t="s">
        <v>42</v>
      </c>
      <c r="E55" s="42" t="s">
        <v>42</v>
      </c>
      <c r="F55" s="43"/>
      <c r="G55" s="42"/>
      <c r="H55" s="77"/>
      <c r="I55" s="45"/>
      <c r="J55" s="46"/>
      <c r="K55" s="46"/>
      <c r="L55" s="46"/>
    </row>
    <row r="56" spans="1:12" ht="17.25" customHeight="1" x14ac:dyDescent="0.2">
      <c r="A56" s="70"/>
      <c r="B56" s="47" t="s">
        <v>30</v>
      </c>
      <c r="C56" s="49" t="s">
        <v>42</v>
      </c>
      <c r="D56" s="42" t="s">
        <v>42</v>
      </c>
      <c r="E56" s="42" t="s">
        <v>42</v>
      </c>
      <c r="F56" s="43"/>
      <c r="G56" s="42"/>
      <c r="H56" s="44"/>
      <c r="I56" s="45"/>
      <c r="J56" s="48"/>
      <c r="K56" s="48"/>
      <c r="L56" s="48"/>
    </row>
    <row r="57" spans="1:12" ht="17.25" customHeight="1" x14ac:dyDescent="0.2">
      <c r="A57" s="70"/>
      <c r="B57" s="47" t="s">
        <v>31</v>
      </c>
      <c r="C57" s="49"/>
      <c r="D57" s="42"/>
      <c r="E57" s="42"/>
      <c r="F57" s="43"/>
      <c r="G57" s="42"/>
      <c r="H57" s="44"/>
      <c r="I57" s="45"/>
      <c r="J57" s="48"/>
      <c r="K57" s="48"/>
      <c r="L57" s="48"/>
    </row>
    <row r="58" spans="1:12" ht="17.25" customHeight="1" x14ac:dyDescent="0.2">
      <c r="A58" s="70"/>
      <c r="B58" s="47" t="s">
        <v>32</v>
      </c>
      <c r="C58" s="49"/>
      <c r="D58" s="42"/>
      <c r="E58" s="42"/>
      <c r="F58" s="43"/>
      <c r="G58" s="42"/>
      <c r="H58" s="44"/>
      <c r="I58" s="45"/>
      <c r="J58" s="48"/>
      <c r="K58" s="48"/>
      <c r="L58" s="48"/>
    </row>
    <row r="59" spans="1:12" ht="17.25" customHeight="1" x14ac:dyDescent="0.2">
      <c r="A59" s="70"/>
      <c r="B59" s="47" t="s">
        <v>33</v>
      </c>
      <c r="C59" s="49"/>
      <c r="D59" s="42"/>
      <c r="E59" s="42"/>
      <c r="F59" s="43"/>
      <c r="G59" s="42"/>
      <c r="H59" s="44"/>
      <c r="I59" s="45"/>
      <c r="J59" s="48"/>
      <c r="K59" s="48"/>
      <c r="L59" s="48"/>
    </row>
    <row r="60" spans="1:12" ht="17.25" customHeight="1" x14ac:dyDescent="0.2">
      <c r="A60" s="70"/>
      <c r="B60" s="47" t="s">
        <v>34</v>
      </c>
      <c r="C60" s="49"/>
      <c r="D60" s="42"/>
      <c r="E60" s="42"/>
      <c r="F60" s="43"/>
      <c r="G60" s="42"/>
      <c r="H60" s="44"/>
      <c r="I60" s="45"/>
      <c r="J60" s="48"/>
      <c r="K60" s="48"/>
      <c r="L60" s="48"/>
    </row>
    <row r="61" spans="1:12" ht="18.75" customHeight="1" thickBot="1" x14ac:dyDescent="0.25">
      <c r="A61" s="78"/>
      <c r="B61" s="79" t="s">
        <v>35</v>
      </c>
      <c r="C61" s="80" t="s">
        <v>42</v>
      </c>
      <c r="D61" s="81" t="s">
        <v>42</v>
      </c>
      <c r="E61" s="81" t="s">
        <v>42</v>
      </c>
      <c r="F61" s="82"/>
      <c r="G61" s="81"/>
      <c r="H61" s="83"/>
      <c r="I61" s="84"/>
      <c r="J61" s="85"/>
      <c r="K61" s="85"/>
      <c r="L61" s="85"/>
    </row>
    <row r="62" spans="1:12" ht="18.75" customHeight="1" x14ac:dyDescent="0.2">
      <c r="A62" s="70"/>
      <c r="B62" s="40" t="s">
        <v>29</v>
      </c>
      <c r="C62" s="41" t="s">
        <v>42</v>
      </c>
      <c r="D62" s="42" t="s">
        <v>42</v>
      </c>
      <c r="E62" s="42" t="s">
        <v>42</v>
      </c>
      <c r="F62" s="43"/>
      <c r="G62" s="42"/>
      <c r="H62" s="77"/>
      <c r="I62" s="45"/>
      <c r="J62" s="46"/>
      <c r="K62" s="46"/>
      <c r="L62" s="46"/>
    </row>
    <row r="63" spans="1:12" ht="18.75" customHeight="1" x14ac:dyDescent="0.2">
      <c r="A63" s="70"/>
      <c r="B63" s="47" t="s">
        <v>30</v>
      </c>
      <c r="C63" s="49"/>
      <c r="D63" s="42"/>
      <c r="E63" s="42"/>
      <c r="F63" s="43"/>
      <c r="G63" s="42"/>
      <c r="H63" s="44"/>
      <c r="I63" s="45"/>
      <c r="J63" s="48"/>
      <c r="K63" s="48"/>
      <c r="L63" s="48"/>
    </row>
    <row r="64" spans="1:12" ht="18.75" customHeight="1" x14ac:dyDescent="0.2">
      <c r="A64" s="70"/>
      <c r="B64" s="47" t="s">
        <v>31</v>
      </c>
      <c r="C64" s="49"/>
      <c r="D64" s="42"/>
      <c r="E64" s="42"/>
      <c r="F64" s="43"/>
      <c r="G64" s="42"/>
      <c r="H64" s="44"/>
      <c r="I64" s="45"/>
      <c r="J64" s="48"/>
      <c r="K64" s="48"/>
      <c r="L64" s="48"/>
    </row>
    <row r="65" spans="1:12" ht="18.75" customHeight="1" x14ac:dyDescent="0.2">
      <c r="A65" s="70"/>
      <c r="B65" s="47" t="s">
        <v>32</v>
      </c>
      <c r="C65" s="49"/>
      <c r="D65" s="42"/>
      <c r="E65" s="42"/>
      <c r="F65" s="43"/>
      <c r="G65" s="42"/>
      <c r="H65" s="44"/>
      <c r="I65" s="45"/>
      <c r="J65" s="48"/>
      <c r="K65" s="48"/>
      <c r="L65" s="48"/>
    </row>
    <row r="66" spans="1:12" ht="18" customHeight="1" x14ac:dyDescent="0.2">
      <c r="A66" s="70"/>
      <c r="B66" s="47" t="s">
        <v>33</v>
      </c>
      <c r="C66" s="49" t="s">
        <v>42</v>
      </c>
      <c r="D66" s="42" t="s">
        <v>42</v>
      </c>
      <c r="E66" s="42" t="s">
        <v>42</v>
      </c>
      <c r="F66" s="43"/>
      <c r="G66" s="42"/>
      <c r="H66" s="44"/>
      <c r="I66" s="45"/>
      <c r="J66" s="48"/>
      <c r="K66" s="48"/>
      <c r="L66" s="48"/>
    </row>
    <row r="67" spans="1:12" ht="18" customHeight="1" x14ac:dyDescent="0.2">
      <c r="A67" s="70"/>
      <c r="B67" s="47" t="s">
        <v>34</v>
      </c>
      <c r="C67" s="49"/>
      <c r="D67" s="42"/>
      <c r="E67" s="42"/>
      <c r="F67" s="43"/>
      <c r="G67" s="42"/>
      <c r="H67" s="44"/>
      <c r="I67" s="45"/>
      <c r="J67" s="48"/>
      <c r="K67" s="48"/>
      <c r="L67" s="48"/>
    </row>
    <row r="68" spans="1:12" ht="24" customHeight="1" thickBot="1" x14ac:dyDescent="0.25">
      <c r="A68" s="78"/>
      <c r="B68" s="79" t="s">
        <v>35</v>
      </c>
      <c r="C68" s="80" t="s">
        <v>42</v>
      </c>
      <c r="D68" s="81" t="s">
        <v>42</v>
      </c>
      <c r="E68" s="81" t="s">
        <v>42</v>
      </c>
      <c r="F68" s="82"/>
      <c r="G68" s="81"/>
      <c r="H68" s="83"/>
      <c r="I68" s="84"/>
      <c r="J68" s="85"/>
      <c r="K68" s="85"/>
      <c r="L68" s="85"/>
    </row>
    <row r="69" spans="1:12" ht="24" customHeight="1" x14ac:dyDescent="0.2">
      <c r="A69" s="50"/>
      <c r="B69" s="88"/>
      <c r="C69" s="89"/>
      <c r="D69" s="53"/>
      <c r="E69" s="53"/>
      <c r="F69" s="53"/>
      <c r="G69" s="53"/>
      <c r="H69" s="53"/>
      <c r="I69" s="90"/>
      <c r="J69" s="90"/>
      <c r="K69" s="90"/>
      <c r="L69" s="90"/>
    </row>
    <row r="71" spans="1:12" ht="53.25" customHeight="1" x14ac:dyDescent="0.2"/>
    <row r="72" spans="1:12" ht="42" customHeight="1" x14ac:dyDescent="0.2"/>
    <row r="73" spans="1:12" ht="42" customHeight="1" x14ac:dyDescent="0.2"/>
    <row r="74" spans="1:12" ht="21.75" customHeight="1" x14ac:dyDescent="0.2"/>
    <row r="75" spans="1:12" ht="18.75" customHeight="1" x14ac:dyDescent="0.2"/>
    <row r="76" spans="1:12" ht="21.75" customHeight="1" x14ac:dyDescent="0.2"/>
    <row r="77" spans="1:12" ht="18.75" customHeight="1" x14ac:dyDescent="0.2"/>
    <row r="78" spans="1:12" ht="18" customHeight="1" x14ac:dyDescent="0.2"/>
    <row r="79" spans="1:12" ht="21" customHeight="1" x14ac:dyDescent="0.2"/>
    <row r="80" spans="1:12"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allowBlank="1" showInputMessage="1" showErrorMessage="1" sqref="I5:I68 J21:J25 K28:K31">
      <formula1>0</formula1>
      <formula2>12</formula2>
    </dataValidation>
    <dataValidation type="decimal" operator="lessThanOrEqual" showInputMessage="1" showErrorMessage="1" sqref="J6">
      <formula1>I6</formula1>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J5 J26:J69 J7:J20 L5:L69 K5:K27 K32:K6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05"/>
  <sheetViews>
    <sheetView showGridLines="0" zoomScaleNormal="100" workbookViewId="0">
      <selection activeCell="K18" sqref="K18"/>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9.7109375" style="60" customWidth="1"/>
    <col min="7" max="7" width="17" style="38" customWidth="1"/>
    <col min="8" max="8" width="13.28515625" style="61" customWidth="1"/>
    <col min="9" max="9" width="9.28515625" style="61" customWidth="1"/>
    <col min="10" max="10" width="10.85546875" style="61" customWidth="1"/>
    <col min="11" max="12" width="10.28515625" style="38" customWidth="1"/>
    <col min="13" max="16384" width="9.140625" style="38"/>
  </cols>
  <sheetData>
    <row r="1" spans="1:12" ht="18.75" customHeight="1" thickBot="1" x14ac:dyDescent="0.25">
      <c r="A1" s="124" t="s">
        <v>46</v>
      </c>
      <c r="B1" s="125"/>
      <c r="C1" s="125"/>
      <c r="D1" s="125"/>
      <c r="E1" s="125"/>
      <c r="F1" s="125"/>
      <c r="G1" s="125"/>
      <c r="H1" s="125"/>
      <c r="I1" s="125"/>
      <c r="J1" s="125"/>
      <c r="K1" s="125"/>
      <c r="L1" s="72"/>
    </row>
    <row r="2" spans="1:12" s="39" customFormat="1" ht="46.5" customHeight="1" x14ac:dyDescent="0.2">
      <c r="A2" s="122" t="s">
        <v>1</v>
      </c>
      <c r="B2" s="127" t="s">
        <v>3</v>
      </c>
      <c r="C2" s="116" t="s">
        <v>2</v>
      </c>
      <c r="D2" s="116" t="s">
        <v>8</v>
      </c>
      <c r="E2" s="118" t="s">
        <v>7</v>
      </c>
      <c r="F2" s="116" t="s">
        <v>4</v>
      </c>
      <c r="G2" s="116" t="s">
        <v>5</v>
      </c>
      <c r="H2" s="116" t="s">
        <v>0</v>
      </c>
      <c r="I2" s="94" t="s">
        <v>36</v>
      </c>
      <c r="J2" s="95" t="s">
        <v>27</v>
      </c>
      <c r="K2" s="95" t="s">
        <v>28</v>
      </c>
      <c r="L2" s="95" t="s">
        <v>59</v>
      </c>
    </row>
    <row r="3" spans="1:12" s="39" customFormat="1" ht="30" customHeight="1" thickBot="1" x14ac:dyDescent="0.25">
      <c r="A3" s="126"/>
      <c r="B3" s="128"/>
      <c r="C3" s="129"/>
      <c r="D3" s="129"/>
      <c r="E3" s="130"/>
      <c r="F3" s="129"/>
      <c r="G3" s="129"/>
      <c r="H3" s="129"/>
      <c r="I3" s="62">
        <f>SUM(I5:I801)</f>
        <v>14.5</v>
      </c>
      <c r="J3" s="62">
        <f>SUM(J5:J801)</f>
        <v>7.5</v>
      </c>
      <c r="K3" s="62">
        <f>SUM(K5:K801)</f>
        <v>7</v>
      </c>
      <c r="L3" s="73">
        <f>SUM(L5:L801)</f>
        <v>0</v>
      </c>
    </row>
    <row r="4" spans="1:12" s="39" customFormat="1" ht="33.75" customHeight="1" x14ac:dyDescent="0.2">
      <c r="A4" s="133" t="s">
        <v>58</v>
      </c>
      <c r="B4" s="133"/>
      <c r="C4" s="133"/>
      <c r="D4" s="133"/>
      <c r="E4" s="133"/>
      <c r="F4" s="133"/>
      <c r="G4" s="133"/>
      <c r="H4" s="133"/>
      <c r="I4" s="133"/>
      <c r="J4" s="133"/>
      <c r="K4" s="133"/>
      <c r="L4" s="102"/>
    </row>
    <row r="5" spans="1:12" ht="24.75" customHeight="1" x14ac:dyDescent="0.2">
      <c r="A5" s="114" t="s">
        <v>103</v>
      </c>
      <c r="B5" s="40" t="s">
        <v>29</v>
      </c>
      <c r="C5" s="41" t="s">
        <v>104</v>
      </c>
      <c r="D5" s="42">
        <v>44014</v>
      </c>
      <c r="E5" s="42">
        <v>44014</v>
      </c>
      <c r="F5" s="43" t="s">
        <v>64</v>
      </c>
      <c r="G5" s="42" t="s">
        <v>81</v>
      </c>
      <c r="H5" s="44" t="s">
        <v>65</v>
      </c>
      <c r="I5" s="45">
        <v>0.5</v>
      </c>
      <c r="J5" s="45">
        <v>0.5</v>
      </c>
      <c r="K5" s="46">
        <v>0</v>
      </c>
      <c r="L5" s="45">
        <v>0</v>
      </c>
    </row>
    <row r="6" spans="1:12" ht="24.75" customHeight="1" x14ac:dyDescent="0.2">
      <c r="A6" s="114"/>
      <c r="B6" s="47" t="s">
        <v>30</v>
      </c>
      <c r="C6" s="76" t="s">
        <v>105</v>
      </c>
      <c r="D6" s="42">
        <v>44014</v>
      </c>
      <c r="E6" s="42">
        <v>44014</v>
      </c>
      <c r="F6" s="43" t="s">
        <v>64</v>
      </c>
      <c r="G6" s="42" t="s">
        <v>81</v>
      </c>
      <c r="H6" s="44" t="s">
        <v>65</v>
      </c>
      <c r="I6" s="45">
        <v>0.5</v>
      </c>
      <c r="J6" s="45">
        <v>0.5</v>
      </c>
      <c r="K6" s="48">
        <v>0</v>
      </c>
      <c r="L6" s="45">
        <v>0</v>
      </c>
    </row>
    <row r="7" spans="1:12" ht="36" customHeight="1" x14ac:dyDescent="0.2">
      <c r="A7" s="114"/>
      <c r="B7" s="40" t="s">
        <v>31</v>
      </c>
      <c r="C7" s="49" t="s">
        <v>106</v>
      </c>
      <c r="D7" s="42">
        <v>44014</v>
      </c>
      <c r="E7" s="42">
        <v>44014</v>
      </c>
      <c r="F7" s="43" t="s">
        <v>64</v>
      </c>
      <c r="G7" s="42" t="s">
        <v>81</v>
      </c>
      <c r="H7" s="44" t="s">
        <v>65</v>
      </c>
      <c r="I7" s="45">
        <v>1</v>
      </c>
      <c r="J7" s="48">
        <v>1</v>
      </c>
      <c r="K7" s="48">
        <v>0</v>
      </c>
      <c r="L7" s="45">
        <v>0</v>
      </c>
    </row>
    <row r="8" spans="1:12" ht="36.75" customHeight="1" x14ac:dyDescent="0.2">
      <c r="A8" s="114"/>
      <c r="B8" s="47" t="s">
        <v>32</v>
      </c>
      <c r="C8" s="49" t="s">
        <v>107</v>
      </c>
      <c r="D8" s="42">
        <v>44014</v>
      </c>
      <c r="E8" s="42">
        <v>44014</v>
      </c>
      <c r="F8" s="43" t="s">
        <v>64</v>
      </c>
      <c r="G8" s="42" t="s">
        <v>81</v>
      </c>
      <c r="H8" s="44" t="s">
        <v>65</v>
      </c>
      <c r="I8" s="45">
        <v>0.5</v>
      </c>
      <c r="J8" s="48">
        <v>0.5</v>
      </c>
      <c r="K8" s="48">
        <v>0</v>
      </c>
      <c r="L8" s="45">
        <v>0</v>
      </c>
    </row>
    <row r="9" spans="1:12" ht="33" customHeight="1" x14ac:dyDescent="0.2">
      <c r="A9" s="114"/>
      <c r="B9" s="40" t="s">
        <v>33</v>
      </c>
      <c r="C9" s="49" t="s">
        <v>108</v>
      </c>
      <c r="D9" s="42">
        <v>44014</v>
      </c>
      <c r="E9" s="42">
        <v>44014</v>
      </c>
      <c r="F9" s="43" t="s">
        <v>64</v>
      </c>
      <c r="G9" s="42" t="s">
        <v>81</v>
      </c>
      <c r="H9" s="44" t="s">
        <v>65</v>
      </c>
      <c r="I9" s="45">
        <v>1.5</v>
      </c>
      <c r="J9" s="45">
        <v>1.5</v>
      </c>
      <c r="K9" s="48">
        <v>0</v>
      </c>
      <c r="L9" s="45">
        <v>0</v>
      </c>
    </row>
    <row r="10" spans="1:12" ht="28.5" customHeight="1" x14ac:dyDescent="0.2">
      <c r="A10" s="114"/>
      <c r="B10" s="47" t="s">
        <v>34</v>
      </c>
      <c r="C10" s="49" t="s">
        <v>109</v>
      </c>
      <c r="D10" s="42">
        <v>44014</v>
      </c>
      <c r="E10" s="42">
        <v>44014</v>
      </c>
      <c r="F10" s="43" t="s">
        <v>64</v>
      </c>
      <c r="G10" s="42" t="s">
        <v>87</v>
      </c>
      <c r="H10" s="44" t="s">
        <v>65</v>
      </c>
      <c r="I10" s="45">
        <v>0.5</v>
      </c>
      <c r="J10" s="45">
        <v>0.5</v>
      </c>
      <c r="K10" s="48">
        <v>0</v>
      </c>
      <c r="L10" s="45">
        <v>0</v>
      </c>
    </row>
    <row r="11" spans="1:12" ht="29.25" customHeight="1" x14ac:dyDescent="0.2">
      <c r="A11" s="114"/>
      <c r="B11" s="40" t="s">
        <v>35</v>
      </c>
      <c r="C11" s="49"/>
      <c r="D11" s="42"/>
      <c r="E11" s="42"/>
      <c r="F11" s="43"/>
      <c r="G11" s="42"/>
      <c r="H11" s="44"/>
      <c r="I11" s="45"/>
      <c r="J11" s="48"/>
      <c r="K11" s="48"/>
      <c r="L11" s="48"/>
    </row>
    <row r="12" spans="1:12" ht="30" customHeight="1" x14ac:dyDescent="0.2">
      <c r="A12" s="132"/>
      <c r="B12" s="47" t="s">
        <v>57</v>
      </c>
      <c r="C12" s="49"/>
      <c r="D12" s="42"/>
      <c r="E12" s="42"/>
      <c r="F12" s="43"/>
      <c r="G12" s="42"/>
      <c r="H12" s="44"/>
      <c r="I12" s="45"/>
      <c r="J12" s="48"/>
      <c r="K12" s="48"/>
      <c r="L12" s="48"/>
    </row>
    <row r="13" spans="1:12" ht="29.25" customHeight="1" x14ac:dyDescent="0.2">
      <c r="A13" s="131" t="s">
        <v>110</v>
      </c>
      <c r="B13" s="47" t="s">
        <v>29</v>
      </c>
      <c r="C13" s="49" t="s">
        <v>111</v>
      </c>
      <c r="D13" s="42">
        <v>44014</v>
      </c>
      <c r="E13" s="42">
        <v>44014</v>
      </c>
      <c r="F13" s="43" t="s">
        <v>64</v>
      </c>
      <c r="G13" s="42" t="s">
        <v>81</v>
      </c>
      <c r="H13" s="44" t="s">
        <v>65</v>
      </c>
      <c r="I13" s="45">
        <v>1</v>
      </c>
      <c r="J13" s="48">
        <v>1</v>
      </c>
      <c r="K13" s="48">
        <v>0</v>
      </c>
      <c r="L13" s="45">
        <v>0</v>
      </c>
    </row>
    <row r="14" spans="1:12" ht="34.5" customHeight="1" x14ac:dyDescent="0.2">
      <c r="A14" s="114"/>
      <c r="B14" s="47" t="s">
        <v>30</v>
      </c>
      <c r="C14" s="49" t="s">
        <v>112</v>
      </c>
      <c r="D14" s="42">
        <v>44014</v>
      </c>
      <c r="E14" s="42">
        <v>44014</v>
      </c>
      <c r="F14" s="43" t="s">
        <v>64</v>
      </c>
      <c r="G14" s="42" t="s">
        <v>81</v>
      </c>
      <c r="H14" s="44" t="s">
        <v>65</v>
      </c>
      <c r="I14" s="45">
        <v>0.5</v>
      </c>
      <c r="J14" s="48">
        <v>0.5</v>
      </c>
      <c r="K14" s="48">
        <v>0</v>
      </c>
      <c r="L14" s="45">
        <v>0</v>
      </c>
    </row>
    <row r="15" spans="1:12" ht="36.75" customHeight="1" x14ac:dyDescent="0.2">
      <c r="A15" s="114"/>
      <c r="B15" s="47" t="s">
        <v>31</v>
      </c>
      <c r="C15" s="49" t="s">
        <v>113</v>
      </c>
      <c r="D15" s="42">
        <v>44014</v>
      </c>
      <c r="E15" s="42">
        <v>44014</v>
      </c>
      <c r="F15" s="43" t="s">
        <v>64</v>
      </c>
      <c r="G15" s="42" t="s">
        <v>81</v>
      </c>
      <c r="H15" s="44" t="s">
        <v>65</v>
      </c>
      <c r="I15" s="45">
        <v>0.5</v>
      </c>
      <c r="J15" s="48">
        <v>0.5</v>
      </c>
      <c r="K15" s="48">
        <v>0</v>
      </c>
      <c r="L15" s="45">
        <v>0</v>
      </c>
    </row>
    <row r="16" spans="1:12" ht="34.5" customHeight="1" x14ac:dyDescent="0.2">
      <c r="A16" s="114"/>
      <c r="B16" s="47" t="s">
        <v>32</v>
      </c>
      <c r="C16" s="49" t="s">
        <v>114</v>
      </c>
      <c r="D16" s="42">
        <v>44014</v>
      </c>
      <c r="E16" s="42">
        <v>44014</v>
      </c>
      <c r="F16" s="43" t="s">
        <v>64</v>
      </c>
      <c r="G16" s="42" t="s">
        <v>81</v>
      </c>
      <c r="H16" s="44" t="s">
        <v>65</v>
      </c>
      <c r="I16" s="45">
        <v>1</v>
      </c>
      <c r="J16" s="48">
        <v>1</v>
      </c>
      <c r="K16" s="48">
        <v>0</v>
      </c>
      <c r="L16" s="45">
        <v>0</v>
      </c>
    </row>
    <row r="17" spans="1:12" ht="42" customHeight="1" x14ac:dyDescent="0.2">
      <c r="A17" s="114"/>
      <c r="B17" s="47" t="s">
        <v>33</v>
      </c>
      <c r="C17" s="49" t="s">
        <v>115</v>
      </c>
      <c r="D17" s="42">
        <v>44015</v>
      </c>
      <c r="E17" s="42">
        <v>44015</v>
      </c>
      <c r="F17" s="43" t="s">
        <v>64</v>
      </c>
      <c r="G17" s="42" t="s">
        <v>81</v>
      </c>
      <c r="H17" s="44" t="s">
        <v>65</v>
      </c>
      <c r="I17" s="45">
        <v>0.5</v>
      </c>
      <c r="J17" s="48">
        <v>0</v>
      </c>
      <c r="K17" s="45">
        <v>0.5</v>
      </c>
      <c r="L17" s="45">
        <v>0</v>
      </c>
    </row>
    <row r="18" spans="1:12" ht="39.75" customHeight="1" x14ac:dyDescent="0.2">
      <c r="A18" s="114"/>
      <c r="B18" s="47" t="s">
        <v>34</v>
      </c>
      <c r="C18" s="49" t="s">
        <v>109</v>
      </c>
      <c r="D18" s="42">
        <v>44015</v>
      </c>
      <c r="E18" s="42">
        <v>44015</v>
      </c>
      <c r="F18" s="43" t="s">
        <v>64</v>
      </c>
      <c r="G18" s="42" t="s">
        <v>87</v>
      </c>
      <c r="H18" s="44" t="s">
        <v>65</v>
      </c>
      <c r="I18" s="45">
        <v>0.5</v>
      </c>
      <c r="J18" s="48">
        <v>0</v>
      </c>
      <c r="K18" s="45">
        <v>0.5</v>
      </c>
      <c r="L18" s="45">
        <v>0</v>
      </c>
    </row>
    <row r="19" spans="1:12" ht="26.25" customHeight="1" x14ac:dyDescent="0.2">
      <c r="A19" s="132"/>
      <c r="B19" s="47" t="s">
        <v>35</v>
      </c>
      <c r="C19" s="49"/>
      <c r="D19" s="42"/>
      <c r="E19" s="42"/>
      <c r="F19" s="43"/>
      <c r="G19" s="42"/>
      <c r="H19" s="44"/>
      <c r="I19" s="45"/>
      <c r="J19" s="48"/>
      <c r="K19" s="48"/>
      <c r="L19" s="48"/>
    </row>
    <row r="20" spans="1:12" ht="23.25" customHeight="1" x14ac:dyDescent="0.2">
      <c r="A20" s="131" t="s">
        <v>116</v>
      </c>
      <c r="B20" s="47" t="s">
        <v>29</v>
      </c>
      <c r="C20" s="49" t="s">
        <v>117</v>
      </c>
      <c r="D20" s="42">
        <v>44015</v>
      </c>
      <c r="E20" s="42">
        <v>44015</v>
      </c>
      <c r="F20" s="43" t="s">
        <v>64</v>
      </c>
      <c r="G20" s="42" t="s">
        <v>81</v>
      </c>
      <c r="H20" s="44" t="s">
        <v>65</v>
      </c>
      <c r="I20" s="45">
        <v>0.5</v>
      </c>
      <c r="J20" s="48">
        <v>0</v>
      </c>
      <c r="K20" s="45">
        <v>0.5</v>
      </c>
      <c r="L20" s="45">
        <v>0</v>
      </c>
    </row>
    <row r="21" spans="1:12" ht="24" customHeight="1" x14ac:dyDescent="0.2">
      <c r="A21" s="114"/>
      <c r="B21" s="47" t="s">
        <v>30</v>
      </c>
      <c r="C21" s="49" t="s">
        <v>118</v>
      </c>
      <c r="D21" s="42">
        <v>44015</v>
      </c>
      <c r="E21" s="42">
        <v>44015</v>
      </c>
      <c r="F21" s="43" t="s">
        <v>64</v>
      </c>
      <c r="G21" s="42" t="s">
        <v>87</v>
      </c>
      <c r="H21" s="44" t="s">
        <v>65</v>
      </c>
      <c r="I21" s="45">
        <v>1.5</v>
      </c>
      <c r="J21" s="48">
        <v>0</v>
      </c>
      <c r="K21" s="45">
        <v>1.5</v>
      </c>
      <c r="L21" s="45">
        <v>0</v>
      </c>
    </row>
    <row r="22" spans="1:12" ht="24" customHeight="1" x14ac:dyDescent="0.2">
      <c r="A22" s="114"/>
      <c r="B22" s="47" t="s">
        <v>31</v>
      </c>
      <c r="C22" s="49" t="s">
        <v>119</v>
      </c>
      <c r="D22" s="42">
        <v>44015</v>
      </c>
      <c r="E22" s="42">
        <v>44015</v>
      </c>
      <c r="F22" s="43" t="s">
        <v>64</v>
      </c>
      <c r="G22" s="42" t="s">
        <v>120</v>
      </c>
      <c r="H22" s="44" t="s">
        <v>65</v>
      </c>
      <c r="I22" s="45">
        <v>1</v>
      </c>
      <c r="J22" s="48">
        <v>0</v>
      </c>
      <c r="K22" s="45">
        <v>1</v>
      </c>
      <c r="L22" s="45">
        <v>0</v>
      </c>
    </row>
    <row r="23" spans="1:12" ht="24" customHeight="1" x14ac:dyDescent="0.2">
      <c r="A23" s="114"/>
      <c r="B23" s="47" t="s">
        <v>32</v>
      </c>
      <c r="C23" s="49" t="s">
        <v>121</v>
      </c>
      <c r="D23" s="42">
        <v>44015</v>
      </c>
      <c r="E23" s="42">
        <v>44015</v>
      </c>
      <c r="F23" s="43" t="s">
        <v>64</v>
      </c>
      <c r="G23" s="42" t="s">
        <v>122</v>
      </c>
      <c r="H23" s="44" t="s">
        <v>65</v>
      </c>
      <c r="I23" s="45">
        <v>2</v>
      </c>
      <c r="J23" s="48">
        <v>0</v>
      </c>
      <c r="K23" s="45">
        <v>2</v>
      </c>
      <c r="L23" s="45">
        <v>0</v>
      </c>
    </row>
    <row r="24" spans="1:12" ht="24" customHeight="1" x14ac:dyDescent="0.2">
      <c r="A24" s="114"/>
      <c r="B24" s="47" t="s">
        <v>33</v>
      </c>
      <c r="C24" s="49" t="s">
        <v>123</v>
      </c>
      <c r="D24" s="42">
        <v>44015</v>
      </c>
      <c r="E24" s="42">
        <v>44015</v>
      </c>
      <c r="F24" s="43" t="s">
        <v>64</v>
      </c>
      <c r="G24" s="42" t="s">
        <v>124</v>
      </c>
      <c r="H24" s="44" t="s">
        <v>65</v>
      </c>
      <c r="I24" s="45">
        <v>1</v>
      </c>
      <c r="J24" s="48">
        <v>0</v>
      </c>
      <c r="K24" s="45">
        <v>1</v>
      </c>
      <c r="L24" s="48">
        <v>0</v>
      </c>
    </row>
    <row r="25" spans="1:12" ht="24" customHeight="1" x14ac:dyDescent="0.2">
      <c r="A25" s="114"/>
      <c r="B25" s="47" t="s">
        <v>34</v>
      </c>
      <c r="C25" s="49"/>
      <c r="D25" s="42"/>
      <c r="E25" s="42"/>
      <c r="F25" s="43"/>
      <c r="G25" s="42"/>
      <c r="H25" s="44"/>
      <c r="I25" s="45"/>
      <c r="J25" s="48"/>
      <c r="K25" s="48"/>
      <c r="L25" s="48"/>
    </row>
    <row r="26" spans="1:12" ht="24" customHeight="1" x14ac:dyDescent="0.2">
      <c r="A26" s="114"/>
      <c r="B26" s="47" t="s">
        <v>35</v>
      </c>
      <c r="C26" s="49"/>
      <c r="D26" s="42"/>
      <c r="E26" s="42"/>
      <c r="F26" s="43"/>
      <c r="G26" s="42"/>
      <c r="H26" s="44"/>
      <c r="I26" s="45"/>
      <c r="J26" s="48"/>
      <c r="K26" s="48"/>
      <c r="L26" s="48"/>
    </row>
    <row r="27" spans="1:12" ht="29.25" customHeight="1" x14ac:dyDescent="0.2">
      <c r="A27" s="131"/>
      <c r="B27" s="47" t="s">
        <v>29</v>
      </c>
      <c r="C27" s="49"/>
      <c r="D27" s="42"/>
      <c r="E27" s="42"/>
      <c r="F27" s="43"/>
      <c r="G27" s="42"/>
      <c r="H27" s="44"/>
      <c r="I27" s="45"/>
      <c r="J27" s="48"/>
      <c r="K27" s="48"/>
      <c r="L27" s="46"/>
    </row>
    <row r="28" spans="1:12" ht="20.25" customHeight="1" x14ac:dyDescent="0.2">
      <c r="A28" s="114"/>
      <c r="B28" s="47" t="s">
        <v>30</v>
      </c>
      <c r="C28" s="49"/>
      <c r="D28" s="42"/>
      <c r="E28" s="42"/>
      <c r="F28" s="43"/>
      <c r="G28" s="42"/>
      <c r="H28" s="44"/>
      <c r="I28" s="45"/>
      <c r="J28" s="48"/>
      <c r="K28" s="48"/>
      <c r="L28" s="48"/>
    </row>
    <row r="29" spans="1:12" ht="20.25" customHeight="1" x14ac:dyDescent="0.2">
      <c r="A29" s="114"/>
      <c r="B29" s="47" t="s">
        <v>31</v>
      </c>
      <c r="C29" s="49"/>
      <c r="D29" s="42"/>
      <c r="E29" s="42"/>
      <c r="F29" s="43"/>
      <c r="G29" s="42"/>
      <c r="H29" s="44"/>
      <c r="I29" s="45"/>
      <c r="J29" s="48"/>
      <c r="K29" s="48"/>
      <c r="L29" s="48"/>
    </row>
    <row r="30" spans="1:12" ht="20.25" customHeight="1" x14ac:dyDescent="0.2">
      <c r="A30" s="114"/>
      <c r="B30" s="47" t="s">
        <v>32</v>
      </c>
      <c r="C30" s="49"/>
      <c r="D30" s="42"/>
      <c r="E30" s="42"/>
      <c r="F30" s="43"/>
      <c r="G30" s="42"/>
      <c r="H30" s="44"/>
      <c r="I30" s="45"/>
      <c r="J30" s="48"/>
      <c r="K30" s="48"/>
      <c r="L30" s="48"/>
    </row>
    <row r="31" spans="1:12" ht="20.25" customHeight="1" x14ac:dyDescent="0.2">
      <c r="A31" s="114"/>
      <c r="B31" s="47" t="s">
        <v>33</v>
      </c>
      <c r="C31" s="49"/>
      <c r="D31" s="42"/>
      <c r="E31" s="42"/>
      <c r="F31" s="43"/>
      <c r="G31" s="42"/>
      <c r="H31" s="44"/>
      <c r="I31" s="45"/>
      <c r="J31" s="48"/>
      <c r="K31" s="48"/>
      <c r="L31" s="48"/>
    </row>
    <row r="32" spans="1:12" ht="20.25" customHeight="1" x14ac:dyDescent="0.2">
      <c r="A32" s="114"/>
      <c r="B32" s="47" t="s">
        <v>34</v>
      </c>
      <c r="C32" s="49"/>
      <c r="D32" s="42"/>
      <c r="E32" s="42"/>
      <c r="F32" s="43"/>
      <c r="G32" s="42"/>
      <c r="H32" s="44"/>
      <c r="I32" s="45"/>
      <c r="J32" s="48"/>
      <c r="K32" s="48"/>
      <c r="L32" s="48"/>
    </row>
    <row r="33" spans="1:12" ht="14.25" customHeight="1" thickBot="1" x14ac:dyDescent="0.25">
      <c r="A33" s="132"/>
      <c r="B33" s="47" t="s">
        <v>35</v>
      </c>
      <c r="C33" s="49"/>
      <c r="D33" s="42"/>
      <c r="E33" s="42"/>
      <c r="F33" s="43"/>
      <c r="G33" s="42"/>
      <c r="H33" s="44"/>
      <c r="I33" s="45"/>
      <c r="J33" s="48"/>
      <c r="K33" s="48"/>
      <c r="L33" s="85"/>
    </row>
    <row r="34" spans="1:12" ht="21" customHeight="1" x14ac:dyDescent="0.2">
      <c r="A34" s="131"/>
      <c r="B34" s="47" t="s">
        <v>29</v>
      </c>
      <c r="C34" s="49"/>
      <c r="D34" s="42"/>
      <c r="E34" s="42"/>
      <c r="F34" s="69"/>
      <c r="G34" s="42"/>
      <c r="H34" s="44"/>
      <c r="I34" s="45"/>
      <c r="J34" s="48"/>
      <c r="K34" s="48"/>
      <c r="L34" s="46"/>
    </row>
    <row r="35" spans="1:12" ht="21.75" customHeight="1" x14ac:dyDescent="0.2">
      <c r="A35" s="114"/>
      <c r="B35" s="47" t="s">
        <v>30</v>
      </c>
      <c r="C35" s="49"/>
      <c r="D35" s="42"/>
      <c r="E35" s="42"/>
      <c r="F35" s="69"/>
      <c r="G35" s="42"/>
      <c r="H35" s="44"/>
      <c r="I35" s="45"/>
      <c r="J35" s="48"/>
      <c r="K35" s="48"/>
      <c r="L35" s="48"/>
    </row>
    <row r="36" spans="1:12" ht="21.75" customHeight="1" x14ac:dyDescent="0.2">
      <c r="A36" s="114"/>
      <c r="B36" s="47" t="s">
        <v>31</v>
      </c>
      <c r="C36" s="49"/>
      <c r="D36" s="42"/>
      <c r="E36" s="42"/>
      <c r="F36" s="69"/>
      <c r="G36" s="42"/>
      <c r="H36" s="44"/>
      <c r="I36" s="45"/>
      <c r="J36" s="48"/>
      <c r="K36" s="48"/>
      <c r="L36" s="48"/>
    </row>
    <row r="37" spans="1:12" ht="21.75" customHeight="1" x14ac:dyDescent="0.2">
      <c r="A37" s="114"/>
      <c r="B37" s="47" t="s">
        <v>32</v>
      </c>
      <c r="C37" s="49"/>
      <c r="D37" s="42"/>
      <c r="E37" s="42"/>
      <c r="F37" s="69"/>
      <c r="G37" s="42"/>
      <c r="H37" s="44"/>
      <c r="I37" s="45"/>
      <c r="J37" s="48"/>
      <c r="K37" s="48"/>
      <c r="L37" s="48"/>
    </row>
    <row r="38" spans="1:12" ht="21.75" customHeight="1" x14ac:dyDescent="0.2">
      <c r="A38" s="114"/>
      <c r="B38" s="47" t="s">
        <v>33</v>
      </c>
      <c r="C38" s="49"/>
      <c r="D38" s="42"/>
      <c r="E38" s="42"/>
      <c r="F38" s="69"/>
      <c r="G38" s="42"/>
      <c r="H38" s="44"/>
      <c r="I38" s="45"/>
      <c r="J38" s="48"/>
      <c r="K38" s="48"/>
      <c r="L38" s="48"/>
    </row>
    <row r="39" spans="1:12" ht="21.75" customHeight="1" x14ac:dyDescent="0.2">
      <c r="A39" s="114"/>
      <c r="B39" s="47" t="s">
        <v>34</v>
      </c>
      <c r="C39" s="49"/>
      <c r="D39" s="42"/>
      <c r="E39" s="42"/>
      <c r="F39" s="69"/>
      <c r="G39" s="42"/>
      <c r="H39" s="44"/>
      <c r="I39" s="45"/>
      <c r="J39" s="48"/>
      <c r="K39" s="48"/>
      <c r="L39" s="48"/>
    </row>
    <row r="40" spans="1:12" ht="21" customHeight="1" thickBot="1" x14ac:dyDescent="0.25">
      <c r="A40" s="114"/>
      <c r="B40" s="47" t="s">
        <v>35</v>
      </c>
      <c r="C40" s="49"/>
      <c r="D40" s="42"/>
      <c r="E40" s="42"/>
      <c r="F40" s="69"/>
      <c r="G40" s="42"/>
      <c r="H40" s="44"/>
      <c r="I40" s="45"/>
      <c r="J40" s="48"/>
      <c r="K40" s="48"/>
      <c r="L40" s="85"/>
    </row>
    <row r="41" spans="1:12" ht="19.5" customHeight="1" x14ac:dyDescent="0.2">
      <c r="A41" s="131"/>
      <c r="B41" s="47" t="s">
        <v>29</v>
      </c>
      <c r="C41" s="49"/>
      <c r="D41" s="42"/>
      <c r="E41" s="42"/>
      <c r="F41" s="43"/>
      <c r="G41" s="42"/>
      <c r="H41" s="44"/>
      <c r="I41" s="45"/>
      <c r="J41" s="48"/>
      <c r="K41" s="48"/>
      <c r="L41" s="46"/>
    </row>
    <row r="42" spans="1:12" ht="17.25" customHeight="1" x14ac:dyDescent="0.2">
      <c r="A42" s="114"/>
      <c r="B42" s="47" t="s">
        <v>30</v>
      </c>
      <c r="C42" s="49"/>
      <c r="D42" s="42"/>
      <c r="E42" s="42"/>
      <c r="F42" s="43"/>
      <c r="G42" s="42"/>
      <c r="H42" s="44"/>
      <c r="I42" s="45"/>
      <c r="J42" s="48"/>
      <c r="K42" s="48"/>
      <c r="L42" s="48"/>
    </row>
    <row r="43" spans="1:12" ht="17.25" customHeight="1" x14ac:dyDescent="0.2">
      <c r="A43" s="114"/>
      <c r="B43" s="47" t="s">
        <v>31</v>
      </c>
      <c r="C43" s="49"/>
      <c r="D43" s="42"/>
      <c r="E43" s="42"/>
      <c r="F43" s="43"/>
      <c r="G43" s="42"/>
      <c r="H43" s="44"/>
      <c r="I43" s="45"/>
      <c r="J43" s="48"/>
      <c r="K43" s="48"/>
      <c r="L43" s="48"/>
    </row>
    <row r="44" spans="1:12" ht="17.25" customHeight="1" x14ac:dyDescent="0.2">
      <c r="A44" s="114"/>
      <c r="B44" s="47" t="s">
        <v>32</v>
      </c>
      <c r="C44" s="49"/>
      <c r="D44" s="42"/>
      <c r="E44" s="42"/>
      <c r="F44" s="43"/>
      <c r="G44" s="42"/>
      <c r="H44" s="44"/>
      <c r="I44" s="45"/>
      <c r="J44" s="48"/>
      <c r="K44" s="48"/>
      <c r="L44" s="48"/>
    </row>
    <row r="45" spans="1:12" ht="17.25" customHeight="1" x14ac:dyDescent="0.2">
      <c r="A45" s="114"/>
      <c r="B45" s="47" t="s">
        <v>33</v>
      </c>
      <c r="C45" s="49"/>
      <c r="D45" s="42"/>
      <c r="E45" s="42"/>
      <c r="F45" s="43"/>
      <c r="G45" s="42"/>
      <c r="H45" s="44"/>
      <c r="I45" s="45"/>
      <c r="J45" s="48"/>
      <c r="K45" s="48"/>
      <c r="L45" s="48"/>
    </row>
    <row r="46" spans="1:12" ht="17.25" customHeight="1" x14ac:dyDescent="0.2">
      <c r="A46" s="114"/>
      <c r="B46" s="47" t="s">
        <v>34</v>
      </c>
      <c r="C46" s="49"/>
      <c r="D46" s="42"/>
      <c r="E46" s="42"/>
      <c r="F46" s="43"/>
      <c r="G46" s="42"/>
      <c r="H46" s="44"/>
      <c r="I46" s="45"/>
      <c r="J46" s="48"/>
      <c r="K46" s="48"/>
      <c r="L46" s="48"/>
    </row>
    <row r="47" spans="1:12" ht="15.75" customHeight="1" thickBot="1" x14ac:dyDescent="0.25">
      <c r="A47" s="114"/>
      <c r="B47" s="47" t="s">
        <v>35</v>
      </c>
      <c r="C47" s="49"/>
      <c r="D47" s="42"/>
      <c r="E47" s="42"/>
      <c r="F47" s="43"/>
      <c r="G47" s="42"/>
      <c r="H47" s="44"/>
      <c r="I47" s="45"/>
      <c r="J47" s="48"/>
      <c r="K47" s="48"/>
      <c r="L47" s="85"/>
    </row>
    <row r="48" spans="1:12" ht="18.75" customHeight="1" x14ac:dyDescent="0.2">
      <c r="A48" s="131"/>
      <c r="B48" s="47" t="s">
        <v>29</v>
      </c>
      <c r="C48" s="49"/>
      <c r="D48" s="42"/>
      <c r="E48" s="42"/>
      <c r="F48" s="43"/>
      <c r="G48" s="42"/>
      <c r="H48" s="44"/>
      <c r="I48" s="45"/>
      <c r="J48" s="48"/>
      <c r="K48" s="48"/>
      <c r="L48" s="46"/>
    </row>
    <row r="49" spans="1:12" ht="19.5" customHeight="1" x14ac:dyDescent="0.2">
      <c r="A49" s="114"/>
      <c r="B49" s="47" t="s">
        <v>30</v>
      </c>
      <c r="C49" s="49" t="s">
        <v>42</v>
      </c>
      <c r="D49" s="42" t="s">
        <v>42</v>
      </c>
      <c r="E49" s="42" t="s">
        <v>42</v>
      </c>
      <c r="F49" s="43"/>
      <c r="G49" s="42"/>
      <c r="H49" s="44"/>
      <c r="I49" s="45"/>
      <c r="J49" s="48"/>
      <c r="K49" s="48"/>
      <c r="L49" s="48"/>
    </row>
    <row r="50" spans="1:12" ht="19.5" customHeight="1" x14ac:dyDescent="0.2">
      <c r="A50" s="114"/>
      <c r="B50" s="47" t="s">
        <v>31</v>
      </c>
      <c r="C50" s="49"/>
      <c r="D50" s="42"/>
      <c r="E50" s="42"/>
      <c r="F50" s="43"/>
      <c r="G50" s="42"/>
      <c r="H50" s="44"/>
      <c r="I50" s="45"/>
      <c r="J50" s="48"/>
      <c r="K50" s="48"/>
      <c r="L50" s="48"/>
    </row>
    <row r="51" spans="1:12" ht="19.5" customHeight="1" x14ac:dyDescent="0.2">
      <c r="A51" s="114"/>
      <c r="B51" s="47" t="s">
        <v>32</v>
      </c>
      <c r="C51" s="49"/>
      <c r="D51" s="42"/>
      <c r="E51" s="42"/>
      <c r="F51" s="43"/>
      <c r="G51" s="42"/>
      <c r="H51" s="44"/>
      <c r="I51" s="45"/>
      <c r="J51" s="48"/>
      <c r="K51" s="48"/>
      <c r="L51" s="48"/>
    </row>
    <row r="52" spans="1:12" ht="19.5" customHeight="1" x14ac:dyDescent="0.2">
      <c r="A52" s="114"/>
      <c r="B52" s="47" t="s">
        <v>33</v>
      </c>
      <c r="C52" s="49"/>
      <c r="D52" s="42"/>
      <c r="E52" s="42"/>
      <c r="F52" s="43"/>
      <c r="G52" s="42"/>
      <c r="H52" s="44"/>
      <c r="I52" s="45"/>
      <c r="J52" s="48"/>
      <c r="K52" s="48"/>
      <c r="L52" s="48"/>
    </row>
    <row r="53" spans="1:12" ht="19.5" customHeight="1" x14ac:dyDescent="0.2">
      <c r="A53" s="114"/>
      <c r="B53" s="47" t="s">
        <v>34</v>
      </c>
      <c r="C53" s="49"/>
      <c r="D53" s="42"/>
      <c r="E53" s="42"/>
      <c r="F53" s="43"/>
      <c r="G53" s="42"/>
      <c r="H53" s="44"/>
      <c r="I53" s="45"/>
      <c r="J53" s="48"/>
      <c r="K53" s="48"/>
      <c r="L53" s="48"/>
    </row>
    <row r="54" spans="1:12" ht="20.25" customHeight="1" thickBot="1" x14ac:dyDescent="0.25">
      <c r="A54" s="114"/>
      <c r="B54" s="47" t="s">
        <v>35</v>
      </c>
      <c r="C54" s="49" t="s">
        <v>42</v>
      </c>
      <c r="D54" s="42" t="s">
        <v>42</v>
      </c>
      <c r="E54" s="42" t="s">
        <v>42</v>
      </c>
      <c r="F54" s="43"/>
      <c r="G54" s="42"/>
      <c r="H54" s="44"/>
      <c r="I54" s="45"/>
      <c r="J54" s="48"/>
      <c r="K54" s="48"/>
      <c r="L54" s="85"/>
    </row>
    <row r="55" spans="1:12" ht="18" customHeight="1" x14ac:dyDescent="0.2">
      <c r="A55" s="131"/>
      <c r="B55" s="47" t="s">
        <v>29</v>
      </c>
      <c r="C55" s="49" t="s">
        <v>42</v>
      </c>
      <c r="D55" s="42" t="s">
        <v>42</v>
      </c>
      <c r="E55" s="42" t="s">
        <v>42</v>
      </c>
      <c r="F55" s="43"/>
      <c r="G55" s="42"/>
      <c r="H55" s="44"/>
      <c r="I55" s="45"/>
      <c r="J55" s="48"/>
      <c r="K55" s="48"/>
      <c r="L55" s="46"/>
    </row>
    <row r="56" spans="1:12" ht="17.25" customHeight="1" x14ac:dyDescent="0.2">
      <c r="A56" s="114"/>
      <c r="B56" s="47" t="s">
        <v>30</v>
      </c>
      <c r="C56" s="49" t="s">
        <v>42</v>
      </c>
      <c r="D56" s="42" t="s">
        <v>42</v>
      </c>
      <c r="E56" s="42" t="s">
        <v>42</v>
      </c>
      <c r="F56" s="43"/>
      <c r="G56" s="42"/>
      <c r="H56" s="44"/>
      <c r="I56" s="45"/>
      <c r="J56" s="48"/>
      <c r="K56" s="48"/>
      <c r="L56" s="48"/>
    </row>
    <row r="57" spans="1:12" ht="17.25" customHeight="1" x14ac:dyDescent="0.2">
      <c r="A57" s="114"/>
      <c r="B57" s="47" t="s">
        <v>31</v>
      </c>
      <c r="C57" s="49"/>
      <c r="D57" s="42"/>
      <c r="E57" s="42"/>
      <c r="F57" s="43"/>
      <c r="G57" s="42"/>
      <c r="H57" s="44"/>
      <c r="I57" s="45"/>
      <c r="J57" s="48"/>
      <c r="K57" s="48"/>
      <c r="L57" s="48"/>
    </row>
    <row r="58" spans="1:12" ht="17.25" customHeight="1" x14ac:dyDescent="0.2">
      <c r="A58" s="114"/>
      <c r="B58" s="47" t="s">
        <v>32</v>
      </c>
      <c r="C58" s="49"/>
      <c r="D58" s="42"/>
      <c r="E58" s="42"/>
      <c r="F58" s="43"/>
      <c r="G58" s="42"/>
      <c r="H58" s="44"/>
      <c r="I58" s="45"/>
      <c r="J58" s="48"/>
      <c r="K58" s="48"/>
      <c r="L58" s="48"/>
    </row>
    <row r="59" spans="1:12" ht="17.25" customHeight="1" x14ac:dyDescent="0.2">
      <c r="A59" s="114"/>
      <c r="B59" s="47" t="s">
        <v>33</v>
      </c>
      <c r="C59" s="49"/>
      <c r="D59" s="42"/>
      <c r="E59" s="42"/>
      <c r="F59" s="43"/>
      <c r="G59" s="42"/>
      <c r="H59" s="44"/>
      <c r="I59" s="45"/>
      <c r="J59" s="48"/>
      <c r="K59" s="48"/>
      <c r="L59" s="48"/>
    </row>
    <row r="60" spans="1:12" ht="17.25" customHeight="1" x14ac:dyDescent="0.2">
      <c r="A60" s="114"/>
      <c r="B60" s="47" t="s">
        <v>34</v>
      </c>
      <c r="C60" s="49"/>
      <c r="D60" s="42"/>
      <c r="E60" s="42"/>
      <c r="F60" s="43"/>
      <c r="G60" s="42"/>
      <c r="H60" s="44"/>
      <c r="I60" s="45"/>
      <c r="J60" s="48"/>
      <c r="K60" s="48"/>
      <c r="L60" s="48"/>
    </row>
    <row r="61" spans="1:12" ht="18.75" customHeight="1" thickBot="1" x14ac:dyDescent="0.25">
      <c r="A61" s="114"/>
      <c r="B61" s="47" t="s">
        <v>35</v>
      </c>
      <c r="C61" s="49" t="s">
        <v>42</v>
      </c>
      <c r="D61" s="42" t="s">
        <v>42</v>
      </c>
      <c r="E61" s="42" t="s">
        <v>42</v>
      </c>
      <c r="F61" s="43"/>
      <c r="G61" s="42"/>
      <c r="H61" s="44"/>
      <c r="I61" s="45"/>
      <c r="J61" s="48"/>
      <c r="K61" s="48"/>
      <c r="L61" s="85"/>
    </row>
    <row r="62" spans="1:12" ht="18.75" customHeight="1" x14ac:dyDescent="0.2">
      <c r="A62" s="131"/>
      <c r="B62" s="47" t="s">
        <v>29</v>
      </c>
      <c r="C62" s="49" t="s">
        <v>42</v>
      </c>
      <c r="D62" s="42" t="s">
        <v>42</v>
      </c>
      <c r="E62" s="42" t="s">
        <v>42</v>
      </c>
      <c r="F62" s="43"/>
      <c r="G62" s="42"/>
      <c r="H62" s="44"/>
      <c r="I62" s="45"/>
      <c r="J62" s="48"/>
      <c r="K62" s="48"/>
      <c r="L62" s="46"/>
    </row>
    <row r="63" spans="1:12" ht="18.75" customHeight="1" x14ac:dyDescent="0.2">
      <c r="A63" s="114"/>
      <c r="B63" s="47" t="s">
        <v>30</v>
      </c>
      <c r="C63" s="49"/>
      <c r="D63" s="42"/>
      <c r="E63" s="42"/>
      <c r="F63" s="43"/>
      <c r="G63" s="42"/>
      <c r="H63" s="44"/>
      <c r="I63" s="45"/>
      <c r="J63" s="48"/>
      <c r="K63" s="48"/>
      <c r="L63" s="48"/>
    </row>
    <row r="64" spans="1:12" ht="18.75" customHeight="1" x14ac:dyDescent="0.2">
      <c r="A64" s="114"/>
      <c r="B64" s="47" t="s">
        <v>31</v>
      </c>
      <c r="C64" s="49"/>
      <c r="D64" s="42"/>
      <c r="E64" s="42"/>
      <c r="F64" s="43"/>
      <c r="G64" s="42"/>
      <c r="H64" s="44"/>
      <c r="I64" s="45"/>
      <c r="J64" s="48"/>
      <c r="K64" s="48"/>
      <c r="L64" s="48"/>
    </row>
    <row r="65" spans="1:12" ht="18.75" customHeight="1" x14ac:dyDescent="0.2">
      <c r="A65" s="114"/>
      <c r="B65" s="47" t="s">
        <v>32</v>
      </c>
      <c r="C65" s="49"/>
      <c r="D65" s="42"/>
      <c r="E65" s="42"/>
      <c r="F65" s="43"/>
      <c r="G65" s="42"/>
      <c r="H65" s="44"/>
      <c r="I65" s="45"/>
      <c r="J65" s="48"/>
      <c r="K65" s="48"/>
      <c r="L65" s="48"/>
    </row>
    <row r="66" spans="1:12" ht="18" customHeight="1" x14ac:dyDescent="0.2">
      <c r="A66" s="114"/>
      <c r="B66" s="47" t="s">
        <v>33</v>
      </c>
      <c r="C66" s="49" t="s">
        <v>42</v>
      </c>
      <c r="D66" s="42" t="s">
        <v>42</v>
      </c>
      <c r="E66" s="42" t="s">
        <v>42</v>
      </c>
      <c r="F66" s="43"/>
      <c r="G66" s="42"/>
      <c r="H66" s="44"/>
      <c r="I66" s="45"/>
      <c r="J66" s="48"/>
      <c r="K66" s="48"/>
      <c r="L66" s="48"/>
    </row>
    <row r="67" spans="1:12" ht="18" customHeight="1" x14ac:dyDescent="0.2">
      <c r="A67" s="114"/>
      <c r="B67" s="47" t="s">
        <v>34</v>
      </c>
      <c r="C67" s="49"/>
      <c r="D67" s="42"/>
      <c r="E67" s="42"/>
      <c r="F67" s="43"/>
      <c r="G67" s="42"/>
      <c r="H67" s="44"/>
      <c r="I67" s="45"/>
      <c r="J67" s="48"/>
      <c r="K67" s="48"/>
      <c r="L67" s="48"/>
    </row>
    <row r="68" spans="1:12" ht="24" customHeight="1" thickBot="1" x14ac:dyDescent="0.25">
      <c r="A68" s="132"/>
      <c r="B68" s="47" t="s">
        <v>35</v>
      </c>
      <c r="C68" s="49" t="s">
        <v>42</v>
      </c>
      <c r="D68" s="42" t="s">
        <v>42</v>
      </c>
      <c r="E68" s="42" t="s">
        <v>42</v>
      </c>
      <c r="F68" s="43"/>
      <c r="G68" s="42"/>
      <c r="H68" s="44"/>
      <c r="I68" s="45"/>
      <c r="J68" s="48"/>
      <c r="K68" s="48"/>
      <c r="L68" s="85"/>
    </row>
    <row r="69" spans="1:12" ht="24" customHeight="1" x14ac:dyDescent="0.2">
      <c r="A69" s="50"/>
      <c r="B69" s="51"/>
      <c r="C69" s="52"/>
      <c r="D69" s="53"/>
      <c r="E69" s="53"/>
      <c r="F69" s="53"/>
      <c r="G69" s="53"/>
      <c r="H69" s="54"/>
      <c r="I69" s="55"/>
      <c r="J69" s="55"/>
      <c r="K69" s="55"/>
      <c r="L69" s="90"/>
    </row>
    <row r="71" spans="1:12" ht="53.25" customHeight="1" x14ac:dyDescent="0.2"/>
    <row r="72" spans="1:12" ht="42" customHeight="1" x14ac:dyDescent="0.2"/>
    <row r="73" spans="1:12" ht="42" customHeight="1" x14ac:dyDescent="0.2"/>
    <row r="74" spans="1:12" ht="21.75" customHeight="1" x14ac:dyDescent="0.2"/>
    <row r="75" spans="1:12" ht="18.75" customHeight="1" x14ac:dyDescent="0.2"/>
    <row r="76" spans="1:12" ht="21.75" customHeight="1" x14ac:dyDescent="0.2"/>
    <row r="77" spans="1:12" ht="18.75" customHeight="1" x14ac:dyDescent="0.2"/>
    <row r="78" spans="1:12" ht="18" customHeight="1" x14ac:dyDescent="0.2"/>
    <row r="79" spans="1:12" ht="21" customHeight="1" x14ac:dyDescent="0.2"/>
    <row r="80" spans="1:12"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A41:A47"/>
    <mergeCell ref="A48:A54"/>
    <mergeCell ref="A55:A61"/>
    <mergeCell ref="A62:A68"/>
    <mergeCell ref="A4:K4"/>
    <mergeCell ref="A5:A12"/>
    <mergeCell ref="A13:A19"/>
    <mergeCell ref="A20:A26"/>
    <mergeCell ref="A27:A33"/>
    <mergeCell ref="A34:A40"/>
    <mergeCell ref="A1:K1"/>
    <mergeCell ref="A2:A3"/>
    <mergeCell ref="B2:B3"/>
    <mergeCell ref="C2:C3"/>
    <mergeCell ref="D2:D3"/>
    <mergeCell ref="E2:E3"/>
    <mergeCell ref="F2:F3"/>
    <mergeCell ref="G2:G3"/>
    <mergeCell ref="H2:H3"/>
  </mergeCells>
  <dataValidations count="8">
    <dataValidation type="decimal" allowBlank="1" showInputMessage="1" showErrorMessage="1" sqref="L5:L10 L13:L18 I5:I68 J5:J6 J9:J10 K20:L23 K24 K17:K18">
      <formula1>0</formula1>
      <formula2>12</formula2>
    </dataValidation>
    <dataValidation type="list" allowBlank="1" showInputMessage="1" showErrorMessage="1" sqref="G5:G19">
      <formula1>"Build, Unit Test, System Test, Coding, General , Integration,Regression Testing"</formula1>
    </dataValidation>
    <dataValidation type="list" allowBlank="1" showInputMessage="1" showErrorMessage="1" sqref="H5:H68">
      <formula1>"1- Not Started, 2- In Progress, 3- Completed"</formula1>
    </dataValidation>
    <dataValidation type="decimal" operator="lessThanOrEqual" allowBlank="1" showInputMessage="1" showErrorMessage="1" sqref="L11:L12 J7:J8 J11:J69 K25:K69 L24:L69 K5:K16 K19:L19">
      <formula1>I5</formula1>
    </dataValidation>
    <dataValidation type="list" allowBlank="1" showInputMessage="1" showErrorMessage="1" sqref="H106:H65536 H69">
      <formula1>Status</formula1>
    </dataValidation>
    <dataValidation type="list" allowBlank="1" showInputMessage="1" showErrorMessage="1" sqref="G20:G69">
      <formula1>"Build, Unit Test, System Test, Coding, General , Integration"</formula1>
    </dataValidation>
    <dataValidation type="list" allowBlank="1" showInputMessage="1" showErrorMessage="1" sqref="G106:G65536">
      <formula1>Category</formula1>
    </dataValidation>
    <dataValidation type="list" allowBlank="1" showInputMessage="1" showErrorMessage="1" sqref="F106:F65536">
      <formula1>Team</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8"/>
  <sheetViews>
    <sheetView showGridLines="0" workbookViewId="0">
      <selection activeCell="G3" sqref="G3"/>
    </sheetView>
  </sheetViews>
  <sheetFormatPr defaultRowHeight="12.75" x14ac:dyDescent="0.2"/>
  <cols>
    <col min="1" max="1" width="6.85546875" style="1" customWidth="1"/>
    <col min="2" max="4" width="12.28515625" style="15" customWidth="1"/>
    <col min="5" max="5" width="20.28515625" style="1" customWidth="1"/>
    <col min="6" max="6" width="16.140625" style="15" customWidth="1"/>
    <col min="7" max="7" width="27.28515625" style="16" customWidth="1"/>
    <col min="8" max="8" width="16.42578125" style="1" customWidth="1"/>
    <col min="9" max="9" width="18.140625" style="1" customWidth="1"/>
    <col min="10" max="16384" width="9.140625" style="1"/>
  </cols>
  <sheetData>
    <row r="1" spans="1:9" s="14" customFormat="1" ht="45.75" customHeight="1" x14ac:dyDescent="0.2">
      <c r="A1" s="13" t="s">
        <v>11</v>
      </c>
      <c r="B1" s="13" t="s">
        <v>22</v>
      </c>
      <c r="C1" s="13" t="s">
        <v>23</v>
      </c>
      <c r="D1" s="13" t="s">
        <v>48</v>
      </c>
      <c r="E1" s="13" t="s">
        <v>26</v>
      </c>
      <c r="F1" s="13" t="s">
        <v>21</v>
      </c>
      <c r="G1" s="13" t="s">
        <v>24</v>
      </c>
      <c r="H1" s="13" t="s">
        <v>25</v>
      </c>
      <c r="I1" s="13" t="s">
        <v>47</v>
      </c>
    </row>
    <row r="2" spans="1:9" s="22" customFormat="1" x14ac:dyDescent="0.2">
      <c r="A2" s="19">
        <v>1</v>
      </c>
      <c r="B2" s="19">
        <v>1</v>
      </c>
      <c r="C2" s="141">
        <v>44012</v>
      </c>
      <c r="D2" s="141">
        <v>44013</v>
      </c>
      <c r="E2" s="23" t="s">
        <v>64</v>
      </c>
      <c r="F2" s="142" t="s">
        <v>137</v>
      </c>
      <c r="G2" s="20" t="s">
        <v>138</v>
      </c>
      <c r="H2" s="23" t="s">
        <v>140</v>
      </c>
      <c r="I2" s="23"/>
    </row>
    <row r="3" spans="1:9" s="22" customFormat="1" x14ac:dyDescent="0.2">
      <c r="A3" s="19">
        <v>2</v>
      </c>
      <c r="B3" s="19">
        <v>2</v>
      </c>
      <c r="C3" s="141">
        <v>44014</v>
      </c>
      <c r="D3" s="141">
        <v>44015</v>
      </c>
      <c r="E3" s="23" t="s">
        <v>64</v>
      </c>
      <c r="F3" s="142" t="s">
        <v>140</v>
      </c>
      <c r="G3" s="20" t="s">
        <v>141</v>
      </c>
      <c r="H3" s="23"/>
      <c r="I3" s="23"/>
    </row>
    <row r="4" spans="1:9" s="22" customFormat="1" x14ac:dyDescent="0.2">
      <c r="A4" s="19"/>
      <c r="B4" s="19"/>
      <c r="C4" s="19"/>
      <c r="D4" s="19"/>
      <c r="E4" s="23"/>
      <c r="F4" s="142"/>
      <c r="G4" s="20"/>
      <c r="H4" s="23"/>
      <c r="I4" s="23"/>
    </row>
    <row r="5" spans="1:9" s="22" customFormat="1" x14ac:dyDescent="0.2">
      <c r="A5" s="19"/>
      <c r="B5" s="19"/>
      <c r="C5" s="19"/>
      <c r="D5" s="19"/>
      <c r="E5" s="23"/>
      <c r="F5" s="142"/>
      <c r="G5" s="20"/>
      <c r="H5" s="23"/>
      <c r="I5" s="23"/>
    </row>
    <row r="6" spans="1:9" s="22" customFormat="1" x14ac:dyDescent="0.2">
      <c r="A6" s="19"/>
      <c r="B6" s="19"/>
      <c r="C6" s="19"/>
      <c r="D6" s="19"/>
      <c r="E6" s="23"/>
      <c r="F6" s="142"/>
      <c r="G6" s="20"/>
      <c r="H6" s="23"/>
      <c r="I6" s="23"/>
    </row>
    <row r="7" spans="1:9" s="22" customFormat="1" x14ac:dyDescent="0.2">
      <c r="A7" s="19"/>
      <c r="B7" s="19"/>
      <c r="C7" s="19"/>
      <c r="D7" s="19"/>
      <c r="E7" s="23"/>
      <c r="F7" s="19"/>
      <c r="G7" s="20"/>
      <c r="H7" s="23"/>
      <c r="I7" s="23"/>
    </row>
    <row r="8" spans="1:9" s="22" customFormat="1" x14ac:dyDescent="0.2">
      <c r="A8" s="19"/>
      <c r="B8" s="19"/>
      <c r="C8" s="19"/>
      <c r="D8" s="19"/>
      <c r="E8" s="23"/>
      <c r="F8" s="19"/>
      <c r="G8" s="21"/>
      <c r="H8" s="23"/>
      <c r="I8" s="23"/>
    </row>
  </sheetData>
  <pageMargins left="0.7" right="0.7" top="0.75" bottom="0.75" header="0.3" footer="0.3"/>
  <pageSetup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J228"/>
  <sheetViews>
    <sheetView showGridLines="0" workbookViewId="0">
      <selection activeCell="I15" sqref="I15"/>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35" t="s">
        <v>43</v>
      </c>
      <c r="D2" s="135"/>
      <c r="E2" s="135"/>
    </row>
    <row r="3" spans="1:10" x14ac:dyDescent="0.2">
      <c r="C3" s="136"/>
      <c r="D3" s="136"/>
      <c r="E3" s="136"/>
      <c r="F3" s="27"/>
      <c r="G3" s="27"/>
      <c r="H3" s="27"/>
      <c r="I3" s="27"/>
    </row>
    <row r="4" spans="1:10" s="6" customFormat="1" ht="33.75" customHeight="1" x14ac:dyDescent="0.2">
      <c r="B4" s="2" t="s">
        <v>38</v>
      </c>
      <c r="C4" s="2" t="s">
        <v>41</v>
      </c>
      <c r="D4" s="2" t="s">
        <v>19</v>
      </c>
      <c r="E4" s="2" t="s">
        <v>20</v>
      </c>
      <c r="F4"/>
      <c r="G4" s="137" t="s">
        <v>37</v>
      </c>
      <c r="H4" s="137"/>
      <c r="I4" s="137"/>
      <c r="J4" s="28"/>
    </row>
    <row r="5" spans="1:10" s="6" customFormat="1" ht="15.75" customHeight="1" x14ac:dyDescent="0.2">
      <c r="B5" s="134">
        <v>1</v>
      </c>
      <c r="C5" s="99">
        <v>1</v>
      </c>
      <c r="D5" s="3">
        <f>'Sprint I Backlog'!I3</f>
        <v>16</v>
      </c>
      <c r="E5" s="3">
        <f>E6+E7</f>
        <v>16.5</v>
      </c>
      <c r="F5"/>
      <c r="G5" s="138"/>
      <c r="H5" s="138"/>
      <c r="I5" s="138"/>
      <c r="J5" s="28"/>
    </row>
    <row r="6" spans="1:10" ht="18.75" customHeight="1" x14ac:dyDescent="0.2">
      <c r="B6" s="134"/>
      <c r="C6" s="99">
        <v>2</v>
      </c>
      <c r="D6" s="3">
        <f>ROUND(D5-(D5/3),2)</f>
        <v>10.67</v>
      </c>
      <c r="E6" s="26">
        <f>IF(OR(Dashboard!L20="DAY 1"),NA(),'Sprint I Backlog'!J3)</f>
        <v>9.25</v>
      </c>
      <c r="G6" s="63" t="s">
        <v>38</v>
      </c>
      <c r="H6" s="63" t="s">
        <v>19</v>
      </c>
      <c r="I6" s="63" t="s">
        <v>20</v>
      </c>
      <c r="J6" s="4"/>
    </row>
    <row r="7" spans="1:10" ht="18.75" customHeight="1" x14ac:dyDescent="0.2">
      <c r="B7" s="134"/>
      <c r="C7" s="3">
        <v>3</v>
      </c>
      <c r="D7" s="3">
        <f>ROUND(D6-(D5/3),2)</f>
        <v>5.34</v>
      </c>
      <c r="E7" s="26">
        <f>IF(OR(Dashboard!L20="DAY 1",Dashboard!L20="DAY 2"),NA(),'Sprint I Backlog'!K3)</f>
        <v>7.25</v>
      </c>
      <c r="G7" s="64">
        <v>1</v>
      </c>
      <c r="H7" s="64">
        <f>D5</f>
        <v>16</v>
      </c>
      <c r="I7" s="65">
        <f>E5</f>
        <v>16.5</v>
      </c>
      <c r="J7" s="29"/>
    </row>
    <row r="8" spans="1:10" ht="18.75" customHeight="1" x14ac:dyDescent="0.2">
      <c r="B8" s="74"/>
      <c r="C8" s="75"/>
      <c r="D8" s="75"/>
      <c r="E8" s="29"/>
      <c r="G8" s="64">
        <v>2</v>
      </c>
      <c r="H8" s="64">
        <f>D14</f>
        <v>14.5</v>
      </c>
      <c r="I8" s="65">
        <f>E14</f>
        <v>14.5</v>
      </c>
      <c r="J8" s="29"/>
    </row>
    <row r="9" spans="1:10" ht="18.75" customHeight="1" x14ac:dyDescent="0.2">
      <c r="C9" s="135"/>
      <c r="D9" s="135"/>
      <c r="E9" s="135"/>
      <c r="G9" s="7"/>
      <c r="H9" s="7"/>
      <c r="I9" s="7"/>
      <c r="J9" s="7"/>
    </row>
    <row r="10" spans="1:10" x14ac:dyDescent="0.2">
      <c r="C10" s="135"/>
      <c r="D10" s="135"/>
      <c r="E10" s="135"/>
    </row>
    <row r="11" spans="1:10" x14ac:dyDescent="0.2">
      <c r="C11" s="135" t="s">
        <v>44</v>
      </c>
      <c r="D11" s="135"/>
      <c r="E11" s="135"/>
    </row>
    <row r="12" spans="1:10" x14ac:dyDescent="0.2">
      <c r="C12" s="136"/>
      <c r="D12" s="136"/>
      <c r="E12" s="136"/>
    </row>
    <row r="13" spans="1:10" ht="27" customHeight="1" x14ac:dyDescent="0.2">
      <c r="A13" s="6"/>
      <c r="B13" s="2" t="s">
        <v>38</v>
      </c>
      <c r="C13" s="2" t="s">
        <v>41</v>
      </c>
      <c r="D13" s="2" t="s">
        <v>19</v>
      </c>
      <c r="E13" s="2" t="s">
        <v>20</v>
      </c>
    </row>
    <row r="14" spans="1:10" ht="19.5" customHeight="1" x14ac:dyDescent="0.2">
      <c r="A14" s="6"/>
      <c r="B14" s="134">
        <v>2</v>
      </c>
      <c r="C14" s="99">
        <v>1</v>
      </c>
      <c r="D14" s="3">
        <f>'Sprint II Backlog'!I3</f>
        <v>14.5</v>
      </c>
      <c r="E14" s="3">
        <f>E15+E16</f>
        <v>14.5</v>
      </c>
    </row>
    <row r="15" spans="1:10" ht="18" customHeight="1" x14ac:dyDescent="0.2">
      <c r="B15" s="134"/>
      <c r="C15" s="3">
        <v>2</v>
      </c>
      <c r="D15" s="3">
        <f>ROUND(D14-(D14/3),2)</f>
        <v>9.67</v>
      </c>
      <c r="E15" s="26">
        <f>IF(OR(Dashboard!L20="DAY 1"),NA(),'Sprint II Backlog'!J3)</f>
        <v>7.5</v>
      </c>
    </row>
    <row r="16" spans="1:10" ht="17.25" customHeight="1" x14ac:dyDescent="0.2">
      <c r="B16" s="134"/>
      <c r="C16" s="99">
        <v>3</v>
      </c>
      <c r="D16" s="3">
        <f>ROUND(D15-(D14/3),2)</f>
        <v>4.84</v>
      </c>
      <c r="E16" s="26">
        <f>IF(OR(Dashboard!L20="DAY 1",Dashboard!L20="DAY 2"),NA(),'Sprint II Backlog'!K3)</f>
        <v>7</v>
      </c>
    </row>
    <row r="17" spans="2:10" ht="20.25" customHeight="1" x14ac:dyDescent="0.2">
      <c r="B17" s="74"/>
      <c r="C17" s="75"/>
      <c r="D17" s="75"/>
      <c r="E17" s="29"/>
    </row>
    <row r="18" spans="2:10" x14ac:dyDescent="0.2">
      <c r="C18" s="135"/>
      <c r="D18" s="135"/>
      <c r="E18" s="135"/>
      <c r="F18" s="7"/>
      <c r="G18" s="7"/>
      <c r="H18" s="7"/>
      <c r="I18" s="7"/>
      <c r="J18" s="7"/>
    </row>
    <row r="19" spans="2:10" x14ac:dyDescent="0.2">
      <c r="C19" s="135"/>
      <c r="D19" s="135"/>
      <c r="E19" s="135"/>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6"/>
  <sheetViews>
    <sheetView showGridLines="0" workbookViewId="0">
      <pane ySplit="1" topLeftCell="A9" activePane="bottomLeft" state="frozen"/>
      <selection pane="bottomLeft" activeCell="F17" sqref="F17"/>
    </sheetView>
  </sheetViews>
  <sheetFormatPr defaultRowHeight="12.75" x14ac:dyDescent="0.2"/>
  <cols>
    <col min="4" max="4" width="20" customWidth="1"/>
    <col min="5" max="5" width="29.85546875" customWidth="1"/>
    <col min="6" max="6" width="41.5703125" customWidth="1"/>
    <col min="7" max="7" width="27" customWidth="1"/>
    <col min="8" max="8" width="14.28515625" customWidth="1"/>
  </cols>
  <sheetData>
    <row r="1" spans="1:10" ht="28.5" customHeight="1" x14ac:dyDescent="0.2">
      <c r="A1" s="35" t="s">
        <v>49</v>
      </c>
      <c r="B1" s="35" t="s">
        <v>1</v>
      </c>
      <c r="C1" s="35" t="s">
        <v>41</v>
      </c>
      <c r="D1" s="35" t="s">
        <v>53</v>
      </c>
      <c r="E1" s="35" t="s">
        <v>52</v>
      </c>
      <c r="F1" s="35" t="s">
        <v>50</v>
      </c>
      <c r="G1" s="35" t="s">
        <v>51</v>
      </c>
      <c r="H1" s="31"/>
      <c r="I1" s="31"/>
      <c r="J1" s="31"/>
    </row>
    <row r="2" spans="1:10" x14ac:dyDescent="0.2">
      <c r="A2" s="32"/>
      <c r="B2" s="32"/>
      <c r="C2" s="32"/>
      <c r="D2" s="33"/>
      <c r="E2" s="33"/>
      <c r="F2" s="33"/>
      <c r="G2" s="33"/>
    </row>
    <row r="3" spans="1:10" x14ac:dyDescent="0.2">
      <c r="A3" s="32"/>
      <c r="B3" s="32"/>
      <c r="C3" s="32"/>
      <c r="D3" s="32"/>
      <c r="E3" s="32"/>
      <c r="F3" s="32"/>
      <c r="G3" s="33"/>
    </row>
    <row r="4" spans="1:10" x14ac:dyDescent="0.2">
      <c r="A4" s="32"/>
      <c r="B4" s="32"/>
      <c r="C4" s="32"/>
      <c r="D4" s="32"/>
      <c r="E4" s="32"/>
      <c r="F4" s="32"/>
      <c r="G4" s="33"/>
    </row>
    <row r="5" spans="1:10" x14ac:dyDescent="0.2">
      <c r="A5" s="32"/>
      <c r="B5" s="32"/>
      <c r="C5" s="32"/>
      <c r="D5" s="32"/>
      <c r="E5" s="32"/>
      <c r="F5" s="32"/>
      <c r="G5" s="33"/>
    </row>
    <row r="6" spans="1:10" x14ac:dyDescent="0.2">
      <c r="A6" s="32"/>
      <c r="B6" s="32"/>
      <c r="C6" s="32"/>
      <c r="D6" s="32"/>
      <c r="E6" s="33"/>
      <c r="F6" s="32"/>
      <c r="G6" s="33"/>
    </row>
    <row r="7" spans="1:10" x14ac:dyDescent="0.2">
      <c r="A7" s="32"/>
      <c r="B7" s="32"/>
      <c r="C7" s="32"/>
      <c r="D7" s="32"/>
      <c r="E7" s="32"/>
      <c r="F7" s="32"/>
      <c r="G7" s="33"/>
    </row>
    <row r="8" spans="1:10" x14ac:dyDescent="0.2">
      <c r="A8" s="32"/>
      <c r="B8" s="32"/>
      <c r="C8" s="32"/>
      <c r="D8" s="33"/>
      <c r="E8" s="32"/>
      <c r="F8" s="33"/>
      <c r="G8" s="32"/>
    </row>
    <row r="9" spans="1:10" ht="38.25" x14ac:dyDescent="0.2">
      <c r="A9" s="32">
        <v>1</v>
      </c>
      <c r="B9" s="32" t="s">
        <v>9</v>
      </c>
      <c r="C9" s="32">
        <v>1</v>
      </c>
      <c r="D9" s="32" t="s">
        <v>64</v>
      </c>
      <c r="E9" s="32" t="s">
        <v>127</v>
      </c>
      <c r="F9" s="32"/>
      <c r="G9" s="32"/>
    </row>
    <row r="10" spans="1:10" ht="38.25" x14ac:dyDescent="0.2">
      <c r="A10" s="32">
        <v>1</v>
      </c>
      <c r="B10" s="32" t="s">
        <v>92</v>
      </c>
      <c r="C10" s="32">
        <v>1</v>
      </c>
      <c r="D10" s="32" t="s">
        <v>64</v>
      </c>
      <c r="E10" s="32" t="s">
        <v>128</v>
      </c>
      <c r="F10" s="32" t="s">
        <v>126</v>
      </c>
      <c r="G10" s="32" t="s">
        <v>131</v>
      </c>
    </row>
    <row r="11" spans="1:10" ht="38.25" x14ac:dyDescent="0.2">
      <c r="A11" s="32">
        <v>1</v>
      </c>
      <c r="B11" s="32" t="s">
        <v>96</v>
      </c>
      <c r="C11" s="32">
        <v>2</v>
      </c>
      <c r="D11" s="32" t="s">
        <v>64</v>
      </c>
      <c r="E11" s="32" t="s">
        <v>129</v>
      </c>
      <c r="F11" s="32" t="s">
        <v>132</v>
      </c>
      <c r="G11" s="32" t="s">
        <v>133</v>
      </c>
    </row>
    <row r="12" spans="1:10" ht="25.5" x14ac:dyDescent="0.2">
      <c r="A12" s="32">
        <v>1</v>
      </c>
      <c r="B12" s="32" t="s">
        <v>101</v>
      </c>
      <c r="C12" s="32">
        <v>2</v>
      </c>
      <c r="D12" s="32" t="s">
        <v>64</v>
      </c>
      <c r="E12" s="32" t="s">
        <v>130</v>
      </c>
      <c r="F12" s="32"/>
      <c r="G12" s="32"/>
    </row>
    <row r="13" spans="1:10" ht="25.5" x14ac:dyDescent="0.2">
      <c r="A13" s="32">
        <v>2</v>
      </c>
      <c r="B13" s="32" t="s">
        <v>103</v>
      </c>
      <c r="C13" s="32">
        <v>3</v>
      </c>
      <c r="D13" s="32" t="s">
        <v>64</v>
      </c>
      <c r="E13" s="32" t="s">
        <v>134</v>
      </c>
      <c r="F13" s="32"/>
      <c r="G13" s="32"/>
    </row>
    <row r="14" spans="1:10" ht="25.5" x14ac:dyDescent="0.2">
      <c r="A14" s="32">
        <v>2</v>
      </c>
      <c r="B14" s="32" t="s">
        <v>110</v>
      </c>
      <c r="C14" s="32">
        <v>3</v>
      </c>
      <c r="D14" s="32" t="s">
        <v>64</v>
      </c>
      <c r="E14" s="32" t="s">
        <v>135</v>
      </c>
      <c r="F14" s="32"/>
      <c r="G14" s="32"/>
    </row>
    <row r="15" spans="1:10" x14ac:dyDescent="0.2">
      <c r="A15" s="32">
        <v>2</v>
      </c>
      <c r="B15" s="32" t="s">
        <v>116</v>
      </c>
      <c r="C15" s="32">
        <v>4</v>
      </c>
      <c r="D15" s="32" t="s">
        <v>64</v>
      </c>
      <c r="E15" s="32" t="s">
        <v>136</v>
      </c>
      <c r="F15" s="32"/>
      <c r="G15" s="32"/>
    </row>
    <row r="16" spans="1:10" x14ac:dyDescent="0.2">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7"/>
  <sheetViews>
    <sheetView showGridLines="0" tabSelected="1" workbookViewId="0">
      <selection activeCell="C12" sqref="C12"/>
    </sheetView>
  </sheetViews>
  <sheetFormatPr defaultRowHeight="12.75" x14ac:dyDescent="0.2"/>
  <cols>
    <col min="1" max="1" width="11.42578125" customWidth="1"/>
    <col min="3" max="3" width="61" customWidth="1"/>
  </cols>
  <sheetData>
    <row r="1" spans="1:3" ht="40.5" customHeight="1" x14ac:dyDescent="0.2">
      <c r="A1" s="68" t="s">
        <v>38</v>
      </c>
      <c r="B1" s="66" t="s">
        <v>1</v>
      </c>
      <c r="C1" s="67" t="s">
        <v>52</v>
      </c>
    </row>
    <row r="2" spans="1:3" x14ac:dyDescent="0.2">
      <c r="A2" s="36">
        <v>1</v>
      </c>
      <c r="B2" s="143" t="s">
        <v>96</v>
      </c>
      <c r="C2" s="143" t="s">
        <v>142</v>
      </c>
    </row>
    <row r="3" spans="1:3" x14ac:dyDescent="0.2">
      <c r="A3" s="36">
        <v>2</v>
      </c>
      <c r="B3" s="143" t="s">
        <v>101</v>
      </c>
      <c r="C3" s="143" t="s">
        <v>143</v>
      </c>
    </row>
    <row r="4" spans="1:3" x14ac:dyDescent="0.2">
      <c r="A4" s="36">
        <v>2</v>
      </c>
      <c r="B4" s="143" t="s">
        <v>110</v>
      </c>
      <c r="C4" s="143" t="s">
        <v>144</v>
      </c>
    </row>
    <row r="5" spans="1:3" x14ac:dyDescent="0.2">
      <c r="A5" s="36"/>
      <c r="B5" s="143"/>
      <c r="C5" s="143"/>
    </row>
    <row r="6" spans="1:3" x14ac:dyDescent="0.2">
      <c r="A6" s="36"/>
      <c r="B6" s="36"/>
      <c r="C6" s="36"/>
    </row>
    <row r="7" spans="1:3" x14ac:dyDescent="0.2">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3438944-2EA2-449B-89E4-46B2F657EDFB}">
  <ds:schemaRefs>
    <ds:schemaRef ds:uri="http://purl.org/dc/dcmitype/"/>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krishna sri mathi</cp:lastModifiedBy>
  <dcterms:created xsi:type="dcterms:W3CDTF">1996-10-14T23:33:28Z</dcterms:created>
  <dcterms:modified xsi:type="dcterms:W3CDTF">2020-07-04T13:18:54Z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